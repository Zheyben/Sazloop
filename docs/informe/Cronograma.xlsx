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manuel\Documents\Proyectos\Sazloop\docs\informe\"/>
    </mc:Choice>
  </mc:AlternateContent>
  <xr:revisionPtr revIDLastSave="0" documentId="13_ncr:1_{C1F30346-D3FF-4424-81DF-BEA775162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manas 1-9" sheetId="1" r:id="rId1"/>
    <sheet name="Semanas 10-1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" l="1"/>
  <c r="M21" i="2"/>
  <c r="L21" i="2"/>
  <c r="K21" i="2"/>
  <c r="J21" i="2"/>
  <c r="I21" i="2"/>
  <c r="H21" i="2"/>
  <c r="G21" i="2"/>
  <c r="F21" i="2"/>
  <c r="N20" i="2"/>
  <c r="M20" i="2"/>
  <c r="L20" i="2"/>
  <c r="K20" i="2"/>
  <c r="J20" i="2"/>
  <c r="I20" i="2"/>
  <c r="H20" i="2"/>
  <c r="G20" i="2"/>
  <c r="F20" i="2"/>
  <c r="N19" i="2"/>
  <c r="M19" i="2"/>
  <c r="L19" i="2"/>
  <c r="K19" i="2"/>
  <c r="J19" i="2"/>
  <c r="I19" i="2"/>
  <c r="H19" i="2"/>
  <c r="G19" i="2"/>
  <c r="F19" i="2"/>
  <c r="N18" i="2"/>
  <c r="M18" i="2"/>
  <c r="L18" i="2"/>
  <c r="K18" i="2"/>
  <c r="J18" i="2"/>
  <c r="I18" i="2"/>
  <c r="H18" i="2"/>
  <c r="G18" i="2"/>
  <c r="F18" i="2"/>
  <c r="N17" i="2"/>
  <c r="M17" i="2"/>
  <c r="L17" i="2"/>
  <c r="K17" i="2"/>
  <c r="J17" i="2"/>
  <c r="I17" i="2"/>
  <c r="H17" i="2"/>
  <c r="G17" i="2"/>
  <c r="F17" i="2"/>
  <c r="N16" i="2"/>
  <c r="M16" i="2"/>
  <c r="L16" i="2"/>
  <c r="K16" i="2"/>
  <c r="J16" i="2"/>
  <c r="I16" i="2"/>
  <c r="H16" i="2"/>
  <c r="G16" i="2"/>
  <c r="F16" i="2"/>
  <c r="N15" i="2"/>
  <c r="M15" i="2"/>
  <c r="L15" i="2"/>
  <c r="K15" i="2"/>
  <c r="J15" i="2"/>
  <c r="I15" i="2"/>
  <c r="H15" i="2"/>
  <c r="G15" i="2"/>
  <c r="F15" i="2"/>
  <c r="N13" i="2"/>
  <c r="M13" i="2"/>
  <c r="L13" i="2"/>
  <c r="K13" i="2"/>
  <c r="J13" i="2"/>
  <c r="I13" i="2"/>
  <c r="H13" i="2"/>
  <c r="G13" i="2"/>
  <c r="F13" i="2"/>
  <c r="N12" i="2"/>
  <c r="M12" i="2"/>
  <c r="L12" i="2"/>
  <c r="K12" i="2"/>
  <c r="J12" i="2"/>
  <c r="I12" i="2"/>
  <c r="H12" i="2"/>
  <c r="G12" i="2"/>
  <c r="F12" i="2"/>
  <c r="N11" i="2"/>
  <c r="M11" i="2"/>
  <c r="L11" i="2"/>
  <c r="K11" i="2"/>
  <c r="J11" i="2"/>
  <c r="I11" i="2"/>
  <c r="H11" i="2"/>
  <c r="G11" i="2"/>
  <c r="F11" i="2"/>
  <c r="N10" i="2"/>
  <c r="M10" i="2"/>
  <c r="L10" i="2"/>
  <c r="K10" i="2"/>
  <c r="J10" i="2"/>
  <c r="I10" i="2"/>
  <c r="H10" i="2"/>
  <c r="G10" i="2"/>
  <c r="F10" i="2"/>
  <c r="N9" i="2"/>
  <c r="M9" i="2"/>
  <c r="L9" i="2"/>
  <c r="K9" i="2"/>
  <c r="J9" i="2"/>
  <c r="I9" i="2"/>
  <c r="H9" i="2"/>
  <c r="G9" i="2"/>
  <c r="F9" i="2"/>
  <c r="N8" i="2"/>
  <c r="M8" i="2"/>
  <c r="L8" i="2"/>
  <c r="K8" i="2"/>
  <c r="J8" i="2"/>
  <c r="I8" i="2"/>
  <c r="H8" i="2"/>
  <c r="G8" i="2"/>
  <c r="F8" i="2"/>
  <c r="N24" i="1"/>
  <c r="M24" i="1"/>
  <c r="L24" i="1"/>
  <c r="K24" i="1"/>
  <c r="J24" i="1"/>
  <c r="I24" i="1"/>
  <c r="H24" i="1"/>
  <c r="G24" i="1"/>
  <c r="F24" i="1"/>
  <c r="N23" i="1"/>
  <c r="M23" i="1"/>
  <c r="L23" i="1"/>
  <c r="K23" i="1"/>
  <c r="J23" i="1"/>
  <c r="I23" i="1"/>
  <c r="H23" i="1"/>
  <c r="G23" i="1"/>
  <c r="F23" i="1"/>
  <c r="N22" i="1"/>
  <c r="M22" i="1"/>
  <c r="L22" i="1"/>
  <c r="K22" i="1"/>
  <c r="J22" i="1"/>
  <c r="I22" i="1"/>
  <c r="H22" i="1"/>
  <c r="G22" i="1"/>
  <c r="F22" i="1"/>
  <c r="N21" i="1"/>
  <c r="M21" i="1"/>
  <c r="L21" i="1"/>
  <c r="K21" i="1"/>
  <c r="J21" i="1"/>
  <c r="I21" i="1"/>
  <c r="H21" i="1"/>
  <c r="G21" i="1"/>
  <c r="F21" i="1"/>
  <c r="N20" i="1"/>
  <c r="M20" i="1"/>
  <c r="L20" i="1"/>
  <c r="K20" i="1"/>
  <c r="J20" i="1"/>
  <c r="I20" i="1"/>
  <c r="H20" i="1"/>
  <c r="G20" i="1"/>
  <c r="F20" i="1"/>
  <c r="N19" i="1"/>
  <c r="M19" i="1"/>
  <c r="L19" i="1"/>
  <c r="K19" i="1"/>
  <c r="J19" i="1"/>
  <c r="I19" i="1"/>
  <c r="H19" i="1"/>
  <c r="G19" i="1"/>
  <c r="F19" i="1"/>
  <c r="N18" i="1"/>
  <c r="M18" i="1"/>
  <c r="L18" i="1"/>
  <c r="K18" i="1"/>
  <c r="J18" i="1"/>
  <c r="I18" i="1"/>
  <c r="H18" i="1"/>
  <c r="G18" i="1"/>
  <c r="F18" i="1"/>
  <c r="N17" i="1"/>
  <c r="M17" i="1"/>
  <c r="L17" i="1"/>
  <c r="K17" i="1"/>
  <c r="J17" i="1"/>
  <c r="I17" i="1"/>
  <c r="H17" i="1"/>
  <c r="G17" i="1"/>
  <c r="F17" i="1"/>
  <c r="N15" i="1"/>
  <c r="M15" i="1"/>
  <c r="L15" i="1"/>
  <c r="K15" i="1"/>
  <c r="J15" i="1"/>
  <c r="I15" i="1"/>
  <c r="H15" i="1"/>
  <c r="G15" i="1"/>
  <c r="F15" i="1"/>
  <c r="N14" i="1"/>
  <c r="M14" i="1"/>
  <c r="L14" i="1"/>
  <c r="K14" i="1"/>
  <c r="J14" i="1"/>
  <c r="I14" i="1"/>
  <c r="H14" i="1"/>
  <c r="G14" i="1"/>
  <c r="F14" i="1"/>
  <c r="N13" i="1"/>
  <c r="M13" i="1"/>
  <c r="L13" i="1"/>
  <c r="K13" i="1"/>
  <c r="J13" i="1"/>
  <c r="I13" i="1"/>
  <c r="H13" i="1"/>
  <c r="G13" i="1"/>
  <c r="F13" i="1"/>
  <c r="N12" i="1"/>
  <c r="M12" i="1"/>
  <c r="L12" i="1"/>
  <c r="K12" i="1"/>
  <c r="J12" i="1"/>
  <c r="I12" i="1"/>
  <c r="H12" i="1"/>
  <c r="G12" i="1"/>
  <c r="F12" i="1"/>
  <c r="N11" i="1"/>
  <c r="M11" i="1"/>
  <c r="L11" i="1"/>
  <c r="K11" i="1"/>
  <c r="J11" i="1"/>
  <c r="I11" i="1"/>
  <c r="H11" i="1"/>
  <c r="G11" i="1"/>
  <c r="F11" i="1"/>
  <c r="N10" i="1"/>
  <c r="M10" i="1"/>
  <c r="L10" i="1"/>
  <c r="K10" i="1"/>
  <c r="J10" i="1"/>
  <c r="I10" i="1"/>
  <c r="H10" i="1"/>
  <c r="G10" i="1"/>
  <c r="F10" i="1"/>
  <c r="N9" i="1"/>
  <c r="M9" i="1"/>
  <c r="L9" i="1"/>
  <c r="K9" i="1"/>
  <c r="J9" i="1"/>
  <c r="I9" i="1"/>
  <c r="H9" i="1"/>
  <c r="G9" i="1"/>
  <c r="F9" i="1"/>
  <c r="N8" i="1"/>
  <c r="M8" i="1"/>
  <c r="L8" i="1"/>
  <c r="K8" i="1"/>
  <c r="J8" i="1"/>
  <c r="I8" i="1"/>
  <c r="H8" i="1"/>
  <c r="G8" i="1"/>
  <c r="F8" i="1"/>
</calcChain>
</file>

<file path=xl/sharedStrings.xml><?xml version="1.0" encoding="utf-8"?>
<sst xmlns="http://schemas.openxmlformats.org/spreadsheetml/2006/main" count="127" uniqueCount="66">
  <si>
    <t>SAZLOOP  |  CRONOGRAMA DEL PROYECTO · SEMANAS 1–9</t>
  </si>
  <si>
    <t>Proyecto N.º 91 — SalvemosLaComida  ·  Primer avance: semana 5  ·  Segundo avance: semana 10  ·  Final: semana 18</t>
  </si>
  <si>
    <t>Semanas 1–5: distribución retrospectiva de actividades del informe entregado; sus fechas internas no se verificaron. Semana 6: correcciones en revisión.</t>
  </si>
  <si>
    <t>Actividad</t>
  </si>
  <si>
    <t>Responsable</t>
  </si>
  <si>
    <t>Inicio</t>
  </si>
  <si>
    <t>Fin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</si>
  <si>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</si>
  <si>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</si>
  <si>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</si>
  <si>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</si>
  <si>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</si>
  <si>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</si>
  <si>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</si>
  <si>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</si>
  <si>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</si>
  <si>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</si>
  <si>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AVANCE DEL PROYECTO FINAL 1</t>
  </si>
  <si>
    <t>Definición del problema, objetivos y alcance</t>
  </si>
  <si>
    <t>Equipo</t>
  </si>
  <si>
    <t>Antecedentes y fundamento teórico</t>
  </si>
  <si>
    <t>RF, RNF y arquitectura de la solución</t>
  </si>
  <si>
    <t>Casos de uso, clases y modelo ER</t>
  </si>
  <si>
    <t>Diseño de prototipos</t>
  </si>
  <si>
    <t>Configuración del backend y clases de dominio</t>
  </si>
  <si>
    <t>Informe, Project Charter y cronograma</t>
  </si>
  <si>
    <t>ENTREGA DEL AVANCE 1</t>
  </si>
  <si>
    <t>Entregado</t>
  </si>
  <si>
    <t>OBSERVACIONES Y SEGUNDO AVANCE</t>
  </si>
  <si>
    <t>Correcciones del informe, citas y requisitos</t>
  </si>
  <si>
    <t>Ajuste y coherencia de diagramas y prototipos</t>
  </si>
  <si>
    <t>Backend: identidad y afiliación</t>
  </si>
  <si>
    <t>Previsto</t>
  </si>
  <si>
    <t>Backend: ofertas y reservas</t>
  </si>
  <si>
    <t>Backend: transacciones y experiencia</t>
  </si>
  <si>
    <t>Frontend: pantallas y flujos principales</t>
  </si>
  <si>
    <t>Integración y comprobaciones del segundo avance</t>
  </si>
  <si>
    <t>Secciones 3.7–3.8 y evidencias del segundo avance</t>
  </si>
  <si>
    <t>Barras = semanas programadas; no acreditan por sí mismas la ejecución de cada tarea.</t>
  </si>
  <si>
    <t>SAZLOOP  |  CRONOGRAMA DEL PROYECTO · SEMANAS 10–18</t>
  </si>
  <si>
    <t>Semanas 10–18: planificación del segundo avance y cierre. Las fechas en semanas son propuestas; solo los hitos de entrega están confirmados.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</si>
  <si>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</si>
  <si>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</si>
  <si>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</si>
  <si>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</si>
  <si>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</si>
  <si>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</si>
  <si>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</si>
  <si>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</si>
  <si>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</si>
  <si>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OBSERVACIONES Y SEGUNDO AVANCE (CONTINUACIÓN)</t>
  </si>
  <si>
    <t>ENTREGA DEL AVANCE 2</t>
  </si>
  <si>
    <t>DESARROLLO Y CIERRE DEL PROYECTO</t>
  </si>
  <si>
    <t>Completar los módulos del backend</t>
  </si>
  <si>
    <t>Según módulo</t>
  </si>
  <si>
    <t>Completar interfaces del frontend</t>
  </si>
  <si>
    <t>Integrar frontend, backend y base de datos</t>
  </si>
  <si>
    <t>Pruebas funcionales y de integridad; corrección de errores</t>
  </si>
  <si>
    <t>Actualizar y revisar el informe y los anexos</t>
  </si>
  <si>
    <t>Preparar presentación y demostración</t>
  </si>
  <si>
    <t>ENTREGA Y DEMOSTRACIÓN FINAL</t>
  </si>
  <si>
    <t>Realizado</t>
  </si>
  <si>
    <t>Emanuel</t>
  </si>
  <si>
    <t>Emanuel / Mirko / Franco</t>
  </si>
  <si>
    <t>Franco</t>
  </si>
  <si>
    <t>Franco / Mirko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</si>
</sst>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26332D"/>
      <name val="Arial"/>
    </font>
    <font>
      <b/>
      <sz val="14"/>
      <color rgb="FF194C38"/>
      <name val="Arial"/>
    </font>
    <font>
      <sz val="10"/>
      <color rgb="FF5A695E"/>
      <name val="Arial"/>
    </font>
    <font>
      <sz val="9"/>
      <color rgb="FF5A695E"/>
      <name val="Arial"/>
    </font>
    <font>
      <b/>
      <sz val="10"/>
      <color rgb="FFFFFFFF"/>
      <name val="Arial"/>
    </font>
    <font>
      <b/>
      <sz val="10"/>
      <color rgb="FF194C38"/>
      <name val="Arial"/>
    </font>
    <font>
      <b/>
      <sz val="11"/>
      <color rgb="FF194C38"/>
      <name val="Arial"/>
    </font>
    <font>
      <b/>
      <sz val="11"/>
      <color rgb="FF925E13"/>
      <name val="Arial"/>
    </font>
    <font>
      <i/>
      <sz val="9"/>
      <color rgb="FF5A695E"/>
      <name val="Arial"/>
    </font>
    <font>
      <sz val="10"/>
      <color rgb="FF26332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94C38"/>
      </patternFill>
    </fill>
    <fill>
      <patternFill patternType="solid">
        <fgColor rgb="FFE8F0EA"/>
      </patternFill>
    </fill>
    <fill>
      <patternFill patternType="solid">
        <fgColor rgb="FFDCEEDF"/>
      </patternFill>
    </fill>
    <fill>
      <patternFill patternType="solid">
        <fgColor rgb="FFEEF2E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8CAB0"/>
      </bottom>
      <diagonal/>
    </border>
    <border>
      <left/>
      <right/>
      <top/>
      <bottom style="thin">
        <color rgb="FFE1E9E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bgColor rgb="FFFFF0C8"/>
        </patternFill>
      </fill>
    </dxf>
    <dxf>
      <fill>
        <patternFill patternType="solid">
          <bgColor rgb="FFD6E7D7"/>
        </patternFill>
      </fill>
    </dxf>
    <dxf>
      <fill>
        <patternFill patternType="solid">
          <bgColor rgb="FFFFF0C8"/>
        </patternFill>
      </fill>
    </dxf>
    <dxf>
      <fill>
        <patternFill patternType="solid">
          <bgColor rgb="FFD6E7D7"/>
        </patternFill>
      </fill>
    </dxf>
    <dxf>
      <fill>
        <patternFill patternType="solid">
          <bgColor rgb="FFD6E7D7"/>
        </patternFill>
      </fill>
    </dxf>
    <dxf>
      <fill>
        <patternFill patternType="solid">
          <bgColor rgb="FFFFF0C8"/>
        </patternFill>
      </fill>
    </dxf>
    <dxf>
      <fill>
        <patternFill patternType="solid">
          <bgColor rgb="FFD6E7D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94C38"/>
  </sheetPr>
  <dimension ref="A1:N31"/>
  <sheetViews>
    <sheetView showGridLines="0" tabSelected="1" zoomScale="70" zoomScaleNormal="70" workbookViewId="0">
      <pane ySplit="6" topLeftCell="A12" activePane="bottomLeft" state="frozen"/>
      <selection pane="bottomLeft" activeCell="A6" sqref="A6:N24"/>
    </sheetView>
  </sheetViews>
  <sheetFormatPr baseColWidth="10" defaultColWidth="9" defaultRowHeight="14.25"/>
  <cols>
    <col min="1" max="1" width="52" customWidth="1"/>
    <col min="2" max="2" width="20" customWidth="1"/>
    <col min="3" max="4" width="9" customWidth="1"/>
    <col min="5" max="5" width="17" customWidth="1"/>
    <col min="6" max="14" width="7" customWidth="1"/>
  </cols>
  <sheetData>
    <row r="1" spans="1:14" ht="1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5.1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7" customHeight="1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1.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0.95" customHeight="1">
      <c r="A5" s="18" t="s">
        <v>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32.1" customHeight="1">
      <c r="A6" s="3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spans="1:14" ht="27.95" customHeight="1">
      <c r="A7" s="19" t="s">
        <v>17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30" customHeight="1">
      <c r="A8" s="5" t="s">
        <v>18</v>
      </c>
      <c r="B8" s="6" t="s">
        <v>19</v>
      </c>
      <c r="C8" s="7">
        <v>1</v>
      </c>
      <c r="D8" s="7">
        <v>2</v>
      </c>
      <c r="E8" s="6" t="s">
        <v>61</v>
      </c>
      <c r="F8" s="8" t="str">
        <f t="shared" ref="F8:F14" si="0">IF(AND(F$6&lt;&gt;"",1&gt;=$C8,1&lt;=$D8),"●","")</f>
        <v>●</v>
      </c>
      <c r="G8" s="8" t="str">
        <f t="shared" ref="G8:G14" si="1">IF(AND(G$6&lt;&gt;"",2&gt;=$C8,2&lt;=$D8),"●","")</f>
        <v>●</v>
      </c>
      <c r="H8" s="8" t="str">
        <f t="shared" ref="H8:H14" si="2">IF(AND(H$6&lt;&gt;"",3&gt;=$C8,3&lt;=$D8),"●","")</f>
        <v/>
      </c>
      <c r="I8" s="8" t="str">
        <f t="shared" ref="I8:I14" si="3">IF(AND(I$6&lt;&gt;"",4&gt;=$C8,4&lt;=$D8),"●","")</f>
        <v/>
      </c>
      <c r="J8" s="8" t="str">
        <f t="shared" ref="J8:J14" si="4">IF(AND(J$6&lt;&gt;"",5&gt;=$C8,5&lt;=$D8),"●","")</f>
        <v/>
      </c>
      <c r="K8" s="8" t="str">
        <f t="shared" ref="K8:K14" si="5">IF(AND(K$6&lt;&gt;"",6&gt;=$C8,6&lt;=$D8),"●","")</f>
        <v/>
      </c>
      <c r="L8" s="8" t="str">
        <f t="shared" ref="L8:L14" si="6">IF(AND(L$6&lt;&gt;"",7&gt;=$C8,7&lt;=$D8),"●","")</f>
        <v/>
      </c>
      <c r="M8" s="8" t="str">
        <f t="shared" ref="M8:M14" si="7">IF(AND(M$6&lt;&gt;"",8&gt;=$C8,8&lt;=$D8),"●","")</f>
        <v/>
      </c>
      <c r="N8" s="8" t="str">
        <f t="shared" ref="N8:N14" si="8">IF(AND(N$6&lt;&gt;"",9&gt;=$C8,9&lt;=$D8),"●","")</f>
        <v/>
      </c>
    </row>
    <row r="9" spans="1:14" ht="30" customHeight="1">
      <c r="A9" s="5" t="s">
        <v>20</v>
      </c>
      <c r="B9" s="6" t="s">
        <v>19</v>
      </c>
      <c r="C9" s="7">
        <v>2</v>
      </c>
      <c r="D9" s="7">
        <v>3</v>
      </c>
      <c r="E9" s="6" t="s">
        <v>61</v>
      </c>
      <c r="F9" s="8" t="str">
        <f t="shared" si="0"/>
        <v/>
      </c>
      <c r="G9" s="8" t="str">
        <f t="shared" si="1"/>
        <v>●</v>
      </c>
      <c r="H9" s="8" t="str">
        <f t="shared" si="2"/>
        <v>●</v>
      </c>
      <c r="I9" s="8" t="str">
        <f t="shared" si="3"/>
        <v/>
      </c>
      <c r="J9" s="8" t="str">
        <f t="shared" si="4"/>
        <v/>
      </c>
      <c r="K9" s="8" t="str">
        <f t="shared" si="5"/>
        <v/>
      </c>
      <c r="L9" s="8" t="str">
        <f t="shared" si="6"/>
        <v/>
      </c>
      <c r="M9" s="8" t="str">
        <f t="shared" si="7"/>
        <v/>
      </c>
      <c r="N9" s="8" t="str">
        <f t="shared" si="8"/>
        <v/>
      </c>
    </row>
    <row r="10" spans="1:14" ht="30" customHeight="1">
      <c r="A10" s="5" t="s">
        <v>21</v>
      </c>
      <c r="B10" s="6" t="s">
        <v>19</v>
      </c>
      <c r="C10" s="7">
        <v>2</v>
      </c>
      <c r="D10" s="7">
        <v>4</v>
      </c>
      <c r="E10" s="6" t="s">
        <v>61</v>
      </c>
      <c r="F10" s="8" t="str">
        <f t="shared" si="0"/>
        <v/>
      </c>
      <c r="G10" s="8" t="str">
        <f t="shared" si="1"/>
        <v>●</v>
      </c>
      <c r="H10" s="8" t="str">
        <f t="shared" si="2"/>
        <v>●</v>
      </c>
      <c r="I10" s="8" t="str">
        <f t="shared" si="3"/>
        <v>●</v>
      </c>
      <c r="J10" s="8" t="str">
        <f t="shared" si="4"/>
        <v/>
      </c>
      <c r="K10" s="8" t="str">
        <f t="shared" si="5"/>
        <v/>
      </c>
      <c r="L10" s="8" t="str">
        <f t="shared" si="6"/>
        <v/>
      </c>
      <c r="M10" s="8" t="str">
        <f t="shared" si="7"/>
        <v/>
      </c>
      <c r="N10" s="8" t="str">
        <f t="shared" si="8"/>
        <v/>
      </c>
    </row>
    <row r="11" spans="1:14" ht="30" customHeight="1">
      <c r="A11" s="5" t="s">
        <v>22</v>
      </c>
      <c r="B11" s="6" t="s">
        <v>19</v>
      </c>
      <c r="C11" s="7">
        <v>3</v>
      </c>
      <c r="D11" s="7">
        <v>5</v>
      </c>
      <c r="E11" s="6" t="s">
        <v>61</v>
      </c>
      <c r="F11" s="8" t="str">
        <f t="shared" si="0"/>
        <v/>
      </c>
      <c r="G11" s="8" t="str">
        <f t="shared" si="1"/>
        <v/>
      </c>
      <c r="H11" s="8" t="str">
        <f t="shared" si="2"/>
        <v>●</v>
      </c>
      <c r="I11" s="8" t="str">
        <f t="shared" si="3"/>
        <v>●</v>
      </c>
      <c r="J11" s="8" t="str">
        <f t="shared" si="4"/>
        <v>●</v>
      </c>
      <c r="K11" s="8" t="str">
        <f t="shared" si="5"/>
        <v/>
      </c>
      <c r="L11" s="8" t="str">
        <f t="shared" si="6"/>
        <v/>
      </c>
      <c r="M11" s="8" t="str">
        <f t="shared" si="7"/>
        <v/>
      </c>
      <c r="N11" s="8" t="str">
        <f t="shared" si="8"/>
        <v/>
      </c>
    </row>
    <row r="12" spans="1:14" ht="30" customHeight="1">
      <c r="A12" s="5" t="s">
        <v>23</v>
      </c>
      <c r="B12" s="6" t="s">
        <v>19</v>
      </c>
      <c r="C12" s="7">
        <v>4</v>
      </c>
      <c r="D12" s="7">
        <v>5</v>
      </c>
      <c r="E12" s="6" t="s">
        <v>61</v>
      </c>
      <c r="F12" s="8" t="str">
        <f t="shared" si="0"/>
        <v/>
      </c>
      <c r="G12" s="8" t="str">
        <f t="shared" si="1"/>
        <v/>
      </c>
      <c r="H12" s="8" t="str">
        <f t="shared" si="2"/>
        <v/>
      </c>
      <c r="I12" s="8" t="str">
        <f t="shared" si="3"/>
        <v>●</v>
      </c>
      <c r="J12" s="8" t="str">
        <f t="shared" si="4"/>
        <v>●</v>
      </c>
      <c r="K12" s="8" t="str">
        <f t="shared" si="5"/>
        <v/>
      </c>
      <c r="L12" s="8" t="str">
        <f t="shared" si="6"/>
        <v/>
      </c>
      <c r="M12" s="8" t="str">
        <f t="shared" si="7"/>
        <v/>
      </c>
      <c r="N12" s="8" t="str">
        <f t="shared" si="8"/>
        <v/>
      </c>
    </row>
    <row r="13" spans="1:14" ht="30" customHeight="1">
      <c r="A13" s="5" t="s">
        <v>24</v>
      </c>
      <c r="B13" s="6" t="s">
        <v>19</v>
      </c>
      <c r="C13" s="7">
        <v>3</v>
      </c>
      <c r="D13" s="7">
        <v>5</v>
      </c>
      <c r="E13" s="6" t="s">
        <v>61</v>
      </c>
      <c r="F13" s="8" t="str">
        <f t="shared" si="0"/>
        <v/>
      </c>
      <c r="G13" s="8" t="str">
        <f t="shared" si="1"/>
        <v/>
      </c>
      <c r="H13" s="8" t="str">
        <f t="shared" si="2"/>
        <v>●</v>
      </c>
      <c r="I13" s="8" t="str">
        <f t="shared" si="3"/>
        <v>●</v>
      </c>
      <c r="J13" s="8" t="str">
        <f t="shared" si="4"/>
        <v>●</v>
      </c>
      <c r="K13" s="8" t="str">
        <f t="shared" si="5"/>
        <v/>
      </c>
      <c r="L13" s="8" t="str">
        <f t="shared" si="6"/>
        <v/>
      </c>
      <c r="M13" s="8" t="str">
        <f t="shared" si="7"/>
        <v/>
      </c>
      <c r="N13" s="8" t="str">
        <f t="shared" si="8"/>
        <v/>
      </c>
    </row>
    <row r="14" spans="1:14" ht="30" customHeight="1">
      <c r="A14" s="5" t="s">
        <v>25</v>
      </c>
      <c r="B14" s="6" t="s">
        <v>19</v>
      </c>
      <c r="C14" s="7">
        <v>4</v>
      </c>
      <c r="D14" s="7">
        <v>5</v>
      </c>
      <c r="E14" s="6" t="s">
        <v>61</v>
      </c>
      <c r="F14" s="8" t="str">
        <f t="shared" si="0"/>
        <v/>
      </c>
      <c r="G14" s="8" t="str">
        <f t="shared" si="1"/>
        <v/>
      </c>
      <c r="H14" s="8" t="str">
        <f t="shared" si="2"/>
        <v/>
      </c>
      <c r="I14" s="8" t="str">
        <f t="shared" si="3"/>
        <v>●</v>
      </c>
      <c r="J14" s="8" t="str">
        <f t="shared" si="4"/>
        <v>●</v>
      </c>
      <c r="K14" s="8" t="str">
        <f t="shared" si="5"/>
        <v/>
      </c>
      <c r="L14" s="8" t="str">
        <f t="shared" si="6"/>
        <v/>
      </c>
      <c r="M14" s="8" t="str">
        <f t="shared" si="7"/>
        <v/>
      </c>
      <c r="N14" s="8" t="str">
        <f t="shared" si="8"/>
        <v/>
      </c>
    </row>
    <row r="15" spans="1:14" ht="30" customHeight="1">
      <c r="A15" s="9" t="s">
        <v>26</v>
      </c>
      <c r="B15" s="10" t="s">
        <v>19</v>
      </c>
      <c r="C15" s="11">
        <v>5</v>
      </c>
      <c r="D15" s="11">
        <v>5</v>
      </c>
      <c r="E15" s="12" t="s">
        <v>27</v>
      </c>
      <c r="F15" s="13" t="str">
        <f>IF(AND(F$6&lt;&gt;"",1&gt;=$C15,1&lt;=$D15),"◆","")</f>
        <v/>
      </c>
      <c r="G15" s="13" t="str">
        <f>IF(AND(G$6&lt;&gt;"",2&gt;=$C15,2&lt;=$D15),"◆","")</f>
        <v/>
      </c>
      <c r="H15" s="13" t="str">
        <f>IF(AND(H$6&lt;&gt;"",3&gt;=$C15,3&lt;=$D15),"◆","")</f>
        <v/>
      </c>
      <c r="I15" s="13" t="str">
        <f>IF(AND(I$6&lt;&gt;"",4&gt;=$C15,4&lt;=$D15),"◆","")</f>
        <v/>
      </c>
      <c r="J15" s="13" t="str">
        <f>IF(AND(J$6&lt;&gt;"",5&gt;=$C15,5&lt;=$D15),"◆","")</f>
        <v>◆</v>
      </c>
      <c r="K15" s="13" t="str">
        <f>IF(AND(K$6&lt;&gt;"",6&gt;=$C15,6&lt;=$D15),"◆","")</f>
        <v/>
      </c>
      <c r="L15" s="13" t="str">
        <f>IF(AND(L$6&lt;&gt;"",7&gt;=$C15,7&lt;=$D15),"◆","")</f>
        <v/>
      </c>
      <c r="M15" s="13" t="str">
        <f>IF(AND(M$6&lt;&gt;"",8&gt;=$C15,8&lt;=$D15),"◆","")</f>
        <v/>
      </c>
      <c r="N15" s="13" t="str">
        <f>IF(AND(N$6&lt;&gt;"",9&gt;=$C15,9&lt;=$D15),"◆","")</f>
        <v/>
      </c>
    </row>
    <row r="16" spans="1:14" ht="27.95" customHeight="1">
      <c r="A16" s="19" t="s">
        <v>28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ht="30" customHeight="1">
      <c r="A17" s="5" t="s">
        <v>29</v>
      </c>
      <c r="B17" s="6" t="s">
        <v>62</v>
      </c>
      <c r="C17" s="7">
        <v>6</v>
      </c>
      <c r="D17" s="7">
        <v>7</v>
      </c>
      <c r="E17" s="6" t="s">
        <v>61</v>
      </c>
      <c r="F17" s="8" t="str">
        <f t="shared" ref="F17:F24" si="9">IF(AND(F$6&lt;&gt;"",1&gt;=$C17,1&lt;=$D17),"●","")</f>
        <v/>
      </c>
      <c r="G17" s="8" t="str">
        <f t="shared" ref="G17:G24" si="10">IF(AND(G$6&lt;&gt;"",2&gt;=$C17,2&lt;=$D17),"●","")</f>
        <v/>
      </c>
      <c r="H17" s="8" t="str">
        <f t="shared" ref="H17:H24" si="11">IF(AND(H$6&lt;&gt;"",3&gt;=$C17,3&lt;=$D17),"●","")</f>
        <v/>
      </c>
      <c r="I17" s="8" t="str">
        <f t="shared" ref="I17:I24" si="12">IF(AND(I$6&lt;&gt;"",4&gt;=$C17,4&lt;=$D17),"●","")</f>
        <v/>
      </c>
      <c r="J17" s="8" t="str">
        <f t="shared" ref="J17:J24" si="13">IF(AND(J$6&lt;&gt;"",5&gt;=$C17,5&lt;=$D17),"●","")</f>
        <v/>
      </c>
      <c r="K17" s="8" t="str">
        <f t="shared" ref="K17:K24" si="14">IF(AND(K$6&lt;&gt;"",6&gt;=$C17,6&lt;=$D17),"●","")</f>
        <v>●</v>
      </c>
      <c r="L17" s="8" t="str">
        <f t="shared" ref="L17:L24" si="15">IF(AND(L$6&lt;&gt;"",7&gt;=$C17,7&lt;=$D17),"●","")</f>
        <v>●</v>
      </c>
      <c r="M17" s="8" t="str">
        <f t="shared" ref="M17:M24" si="16">IF(AND(M$6&lt;&gt;"",8&gt;=$C17,8&lt;=$D17),"●","")</f>
        <v/>
      </c>
      <c r="N17" s="8" t="str">
        <f t="shared" ref="N17:N24" si="17">IF(AND(N$6&lt;&gt;"",9&gt;=$C17,9&lt;=$D17),"●","")</f>
        <v/>
      </c>
    </row>
    <row r="18" spans="1:14" ht="30" customHeight="1">
      <c r="A18" s="5" t="s">
        <v>30</v>
      </c>
      <c r="B18" s="6" t="s">
        <v>62</v>
      </c>
      <c r="C18" s="7">
        <v>6</v>
      </c>
      <c r="D18" s="7">
        <v>8</v>
      </c>
      <c r="E18" s="6" t="s">
        <v>61</v>
      </c>
      <c r="F18" s="8" t="str">
        <f t="shared" si="9"/>
        <v/>
      </c>
      <c r="G18" s="8" t="str">
        <f t="shared" si="10"/>
        <v/>
      </c>
      <c r="H18" s="8" t="str">
        <f t="shared" si="11"/>
        <v/>
      </c>
      <c r="I18" s="8" t="str">
        <f t="shared" si="12"/>
        <v/>
      </c>
      <c r="J18" s="8" t="str">
        <f t="shared" si="13"/>
        <v/>
      </c>
      <c r="K18" s="8" t="str">
        <f t="shared" si="14"/>
        <v>●</v>
      </c>
      <c r="L18" s="8" t="str">
        <f t="shared" si="15"/>
        <v>●</v>
      </c>
      <c r="M18" s="8" t="str">
        <f t="shared" si="16"/>
        <v>●</v>
      </c>
      <c r="N18" s="8" t="str">
        <f t="shared" si="17"/>
        <v/>
      </c>
    </row>
    <row r="19" spans="1:14" ht="30" customHeight="1">
      <c r="A19" s="5" t="s">
        <v>31</v>
      </c>
      <c r="B19" s="20" t="s">
        <v>63</v>
      </c>
      <c r="C19" s="7">
        <v>7</v>
      </c>
      <c r="D19" s="7">
        <v>9</v>
      </c>
      <c r="E19" s="6" t="s">
        <v>61</v>
      </c>
      <c r="F19" s="8" t="str">
        <f t="shared" si="9"/>
        <v/>
      </c>
      <c r="G19" s="8" t="str">
        <f t="shared" si="10"/>
        <v/>
      </c>
      <c r="H19" s="8" t="str">
        <f t="shared" si="11"/>
        <v/>
      </c>
      <c r="I19" s="8" t="str">
        <f t="shared" si="12"/>
        <v/>
      </c>
      <c r="J19" s="8" t="str">
        <f t="shared" si="13"/>
        <v/>
      </c>
      <c r="K19" s="8" t="str">
        <f t="shared" si="14"/>
        <v/>
      </c>
      <c r="L19" s="8" t="str">
        <f t="shared" si="15"/>
        <v>●</v>
      </c>
      <c r="M19" s="8" t="str">
        <f t="shared" si="16"/>
        <v>●</v>
      </c>
      <c r="N19" s="8" t="str">
        <f t="shared" si="17"/>
        <v>●</v>
      </c>
    </row>
    <row r="20" spans="1:14" ht="30" customHeight="1">
      <c r="A20" s="5" t="s">
        <v>33</v>
      </c>
      <c r="B20" s="20" t="s">
        <v>63</v>
      </c>
      <c r="C20" s="7">
        <v>8</v>
      </c>
      <c r="D20" s="7">
        <v>10</v>
      </c>
      <c r="E20" s="6" t="s">
        <v>61</v>
      </c>
      <c r="F20" s="8" t="str">
        <f t="shared" si="9"/>
        <v/>
      </c>
      <c r="G20" s="8" t="str">
        <f t="shared" si="10"/>
        <v/>
      </c>
      <c r="H20" s="8" t="str">
        <f t="shared" si="11"/>
        <v/>
      </c>
      <c r="I20" s="8" t="str">
        <f t="shared" si="12"/>
        <v/>
      </c>
      <c r="J20" s="8" t="str">
        <f t="shared" si="13"/>
        <v/>
      </c>
      <c r="K20" s="8" t="str">
        <f t="shared" si="14"/>
        <v/>
      </c>
      <c r="L20" s="8" t="str">
        <f t="shared" si="15"/>
        <v/>
      </c>
      <c r="M20" s="8" t="str">
        <f t="shared" si="16"/>
        <v>●</v>
      </c>
      <c r="N20" s="8" t="str">
        <f t="shared" si="17"/>
        <v>●</v>
      </c>
    </row>
    <row r="21" spans="1:14" ht="30" customHeight="1">
      <c r="A21" s="5" t="s">
        <v>34</v>
      </c>
      <c r="B21" s="20" t="s">
        <v>63</v>
      </c>
      <c r="C21" s="7">
        <v>8</v>
      </c>
      <c r="D21" s="7">
        <v>10</v>
      </c>
      <c r="E21" s="6" t="s">
        <v>61</v>
      </c>
      <c r="F21" s="8" t="str">
        <f t="shared" si="9"/>
        <v/>
      </c>
      <c r="G21" s="8" t="str">
        <f t="shared" si="10"/>
        <v/>
      </c>
      <c r="H21" s="8" t="str">
        <f t="shared" si="11"/>
        <v/>
      </c>
      <c r="I21" s="8" t="str">
        <f t="shared" si="12"/>
        <v/>
      </c>
      <c r="J21" s="8" t="str">
        <f t="shared" si="13"/>
        <v/>
      </c>
      <c r="K21" s="8" t="str">
        <f t="shared" si="14"/>
        <v/>
      </c>
      <c r="L21" s="8" t="str">
        <f t="shared" si="15"/>
        <v/>
      </c>
      <c r="M21" s="8" t="str">
        <f t="shared" si="16"/>
        <v>●</v>
      </c>
      <c r="N21" s="8" t="str">
        <f t="shared" si="17"/>
        <v>●</v>
      </c>
    </row>
    <row r="22" spans="1:14" ht="30" customHeight="1">
      <c r="A22" s="5" t="s">
        <v>35</v>
      </c>
      <c r="B22" s="20" t="s">
        <v>63</v>
      </c>
      <c r="C22" s="7">
        <v>8</v>
      </c>
      <c r="D22" s="7">
        <v>10</v>
      </c>
      <c r="E22" s="6" t="s">
        <v>61</v>
      </c>
      <c r="F22" s="8" t="str">
        <f t="shared" si="9"/>
        <v/>
      </c>
      <c r="G22" s="8" t="str">
        <f t="shared" si="10"/>
        <v/>
      </c>
      <c r="H22" s="8" t="str">
        <f t="shared" si="11"/>
        <v/>
      </c>
      <c r="I22" s="8" t="str">
        <f t="shared" si="12"/>
        <v/>
      </c>
      <c r="J22" s="8" t="str">
        <f t="shared" si="13"/>
        <v/>
      </c>
      <c r="K22" s="8" t="str">
        <f t="shared" si="14"/>
        <v/>
      </c>
      <c r="L22" s="8" t="str">
        <f t="shared" si="15"/>
        <v/>
      </c>
      <c r="M22" s="8" t="str">
        <f t="shared" si="16"/>
        <v>●</v>
      </c>
      <c r="N22" s="8" t="str">
        <f t="shared" si="17"/>
        <v>●</v>
      </c>
    </row>
    <row r="23" spans="1:14" ht="30" customHeight="1">
      <c r="A23" s="5" t="s">
        <v>36</v>
      </c>
      <c r="B23" s="20" t="s">
        <v>62</v>
      </c>
      <c r="C23" s="7">
        <v>9</v>
      </c>
      <c r="D23" s="7">
        <v>10</v>
      </c>
      <c r="E23" s="6" t="s">
        <v>61</v>
      </c>
      <c r="F23" s="8" t="str">
        <f t="shared" si="9"/>
        <v/>
      </c>
      <c r="G23" s="8" t="str">
        <f t="shared" si="10"/>
        <v/>
      </c>
      <c r="H23" s="8" t="str">
        <f t="shared" si="11"/>
        <v/>
      </c>
      <c r="I23" s="8" t="str">
        <f t="shared" si="12"/>
        <v/>
      </c>
      <c r="J23" s="8" t="str">
        <f t="shared" si="13"/>
        <v/>
      </c>
      <c r="K23" s="8" t="str">
        <f t="shared" si="14"/>
        <v/>
      </c>
      <c r="L23" s="8" t="str">
        <f t="shared" si="15"/>
        <v/>
      </c>
      <c r="M23" s="8" t="str">
        <f t="shared" si="16"/>
        <v/>
      </c>
      <c r="N23" s="8" t="str">
        <f t="shared" si="17"/>
        <v>●</v>
      </c>
    </row>
    <row r="24" spans="1:14" ht="36.950000000000003" customHeight="1">
      <c r="A24" s="5" t="s">
        <v>37</v>
      </c>
      <c r="B24" s="20" t="s">
        <v>65</v>
      </c>
      <c r="C24" s="7">
        <v>9</v>
      </c>
      <c r="D24" s="7">
        <v>10</v>
      </c>
      <c r="E24" s="6" t="s">
        <v>61</v>
      </c>
      <c r="F24" s="8" t="str">
        <f t="shared" si="9"/>
        <v/>
      </c>
      <c r="G24" s="8" t="str">
        <f t="shared" si="10"/>
        <v/>
      </c>
      <c r="H24" s="8" t="str">
        <f t="shared" si="11"/>
        <v/>
      </c>
      <c r="I24" s="8" t="str">
        <f t="shared" si="12"/>
        <v/>
      </c>
      <c r="J24" s="8" t="str">
        <f t="shared" si="13"/>
        <v/>
      </c>
      <c r="K24" s="8" t="str">
        <f t="shared" si="14"/>
        <v/>
      </c>
      <c r="L24" s="8" t="str">
        <f t="shared" si="15"/>
        <v/>
      </c>
      <c r="M24" s="8" t="str">
        <f t="shared" si="16"/>
        <v/>
      </c>
      <c r="N24" s="8" t="str">
        <f t="shared" si="17"/>
        <v>●</v>
      </c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7" customHeight="1">
      <c r="A26" s="15" t="s">
        <v>38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mergeCells count="6">
    <mergeCell ref="A26:N26"/>
    <mergeCell ref="A2:N2"/>
    <mergeCell ref="A3:N3"/>
    <mergeCell ref="A5:N5"/>
    <mergeCell ref="A7:N7"/>
    <mergeCell ref="A16:N16"/>
  </mergeCells>
  <conditionalFormatting sqref="F8:N14">
    <cfRule type="expression" dxfId="6" priority="1">
      <formula>AND(F$6&lt;&gt;"",VALUE(MID(F$6,2,2))&gt;=$C8,VALUE(MID(F$6,2,2))&lt;=$D8)</formula>
    </cfRule>
  </conditionalFormatting>
  <conditionalFormatting sqref="F15:N15">
    <cfRule type="expression" dxfId="5" priority="8">
      <formula>AND(F$6&lt;&gt;"",VALUE(MID(F$6,2,2))&gt;=$C15,VALUE(MID(F$6,2,2))&lt;=$D15)</formula>
    </cfRule>
  </conditionalFormatting>
  <conditionalFormatting sqref="F17:N24">
    <cfRule type="expression" dxfId="4" priority="9">
      <formula>AND(F$6&lt;&gt;"",VALUE(MID(F$6,2,2))&gt;=$C17,VALUE(MID(F$6,2,2))&lt;=$D17)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D8E6B"/>
  </sheetPr>
  <dimension ref="A1:N31"/>
  <sheetViews>
    <sheetView showGridLines="0" zoomScale="85" zoomScaleNormal="85" workbookViewId="0">
      <pane ySplit="6" topLeftCell="A7" activePane="bottomLeft" state="frozen"/>
      <selection pane="bottomLeft" activeCell="N21" sqref="A6:N21"/>
    </sheetView>
  </sheetViews>
  <sheetFormatPr baseColWidth="10" defaultColWidth="9" defaultRowHeight="14.25"/>
  <cols>
    <col min="1" max="1" width="52" customWidth="1"/>
    <col min="2" max="2" width="20" customWidth="1"/>
    <col min="3" max="4" width="9" customWidth="1"/>
    <col min="5" max="5" width="17" customWidth="1"/>
    <col min="6" max="14" width="7" customWidth="1"/>
  </cols>
  <sheetData>
    <row r="1" spans="1:14" ht="1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5.1" customHeight="1">
      <c r="A2" s="16" t="s">
        <v>39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27" customHeight="1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4" ht="11.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30.95" customHeight="1">
      <c r="A5" s="18" t="s">
        <v>40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ht="32.1" customHeight="1">
      <c r="A6" s="3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  <c r="M6" s="4" t="s">
        <v>48</v>
      </c>
      <c r="N6" s="4" t="s">
        <v>49</v>
      </c>
    </row>
    <row r="7" spans="1:14" ht="27.95" customHeight="1">
      <c r="A7" s="19" t="s">
        <v>50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30" customHeight="1">
      <c r="A8" s="5" t="s">
        <v>33</v>
      </c>
      <c r="B8" s="20" t="s">
        <v>63</v>
      </c>
      <c r="C8" s="7">
        <v>8</v>
      </c>
      <c r="D8" s="7">
        <v>10</v>
      </c>
      <c r="E8" s="6" t="s">
        <v>61</v>
      </c>
      <c r="F8" s="8" t="str">
        <f>IF(AND(F$6&lt;&gt;"",10&gt;=$C8,10&lt;=$D8),"●","")</f>
        <v>●</v>
      </c>
      <c r="G8" s="8" t="str">
        <f>IF(AND(G$6&lt;&gt;"",11&gt;=$C8,11&lt;=$D8),"●","")</f>
        <v/>
      </c>
      <c r="H8" s="8" t="str">
        <f>IF(AND(H$6&lt;&gt;"",12&gt;=$C8,12&lt;=$D8),"●","")</f>
        <v/>
      </c>
      <c r="I8" s="8" t="str">
        <f>IF(AND(I$6&lt;&gt;"",13&gt;=$C8,13&lt;=$D8),"●","")</f>
        <v/>
      </c>
      <c r="J8" s="8" t="str">
        <f>IF(AND(J$6&lt;&gt;"",14&gt;=$C8,14&lt;=$D8),"●","")</f>
        <v/>
      </c>
      <c r="K8" s="8" t="str">
        <f>IF(AND(K$6&lt;&gt;"",15&gt;=$C8,15&lt;=$D8),"●","")</f>
        <v/>
      </c>
      <c r="L8" s="8" t="str">
        <f>IF(AND(L$6&lt;&gt;"",16&gt;=$C8,16&lt;=$D8),"●","")</f>
        <v/>
      </c>
      <c r="M8" s="8" t="str">
        <f>IF(AND(M$6&lt;&gt;"",17&gt;=$C8,17&lt;=$D8),"●","")</f>
        <v/>
      </c>
      <c r="N8" s="8" t="str">
        <f>IF(AND(N$6&lt;&gt;"",18&gt;=$C8,18&lt;=$D8),"●","")</f>
        <v/>
      </c>
    </row>
    <row r="9" spans="1:14" ht="30" customHeight="1">
      <c r="A9" s="5" t="s">
        <v>34</v>
      </c>
      <c r="B9" s="20" t="s">
        <v>63</v>
      </c>
      <c r="C9" s="7">
        <v>8</v>
      </c>
      <c r="D9" s="7">
        <v>10</v>
      </c>
      <c r="E9" s="6" t="s">
        <v>61</v>
      </c>
      <c r="F9" s="8" t="str">
        <f>IF(AND(F$6&lt;&gt;"",10&gt;=$C9,10&lt;=$D9),"●","")</f>
        <v>●</v>
      </c>
      <c r="G9" s="8" t="str">
        <f>IF(AND(G$6&lt;&gt;"",11&gt;=$C9,11&lt;=$D9),"●","")</f>
        <v/>
      </c>
      <c r="H9" s="8" t="str">
        <f>IF(AND(H$6&lt;&gt;"",12&gt;=$C9,12&lt;=$D9),"●","")</f>
        <v/>
      </c>
      <c r="I9" s="8" t="str">
        <f>IF(AND(I$6&lt;&gt;"",13&gt;=$C9,13&lt;=$D9),"●","")</f>
        <v/>
      </c>
      <c r="J9" s="8" t="str">
        <f>IF(AND(J$6&lt;&gt;"",14&gt;=$C9,14&lt;=$D9),"●","")</f>
        <v/>
      </c>
      <c r="K9" s="8" t="str">
        <f>IF(AND(K$6&lt;&gt;"",15&gt;=$C9,15&lt;=$D9),"●","")</f>
        <v/>
      </c>
      <c r="L9" s="8" t="str">
        <f>IF(AND(L$6&lt;&gt;"",16&gt;=$C9,16&lt;=$D9),"●","")</f>
        <v/>
      </c>
      <c r="M9" s="8" t="str">
        <f>IF(AND(M$6&lt;&gt;"",17&gt;=$C9,17&lt;=$D9),"●","")</f>
        <v/>
      </c>
      <c r="N9" s="8" t="str">
        <f>IF(AND(N$6&lt;&gt;"",18&gt;=$C9,18&lt;=$D9),"●","")</f>
        <v/>
      </c>
    </row>
    <row r="10" spans="1:14" ht="30" customHeight="1">
      <c r="A10" s="5" t="s">
        <v>35</v>
      </c>
      <c r="B10" s="20" t="s">
        <v>63</v>
      </c>
      <c r="C10" s="7">
        <v>8</v>
      </c>
      <c r="D10" s="7">
        <v>10</v>
      </c>
      <c r="E10" s="6" t="s">
        <v>61</v>
      </c>
      <c r="F10" s="8" t="str">
        <f>IF(AND(F$6&lt;&gt;"",10&gt;=$C10,10&lt;=$D10),"●","")</f>
        <v>●</v>
      </c>
      <c r="G10" s="8" t="str">
        <f>IF(AND(G$6&lt;&gt;"",11&gt;=$C10,11&lt;=$D10),"●","")</f>
        <v/>
      </c>
      <c r="H10" s="8" t="str">
        <f>IF(AND(H$6&lt;&gt;"",12&gt;=$C10,12&lt;=$D10),"●","")</f>
        <v/>
      </c>
      <c r="I10" s="8" t="str">
        <f>IF(AND(I$6&lt;&gt;"",13&gt;=$C10,13&lt;=$D10),"●","")</f>
        <v/>
      </c>
      <c r="J10" s="8" t="str">
        <f>IF(AND(J$6&lt;&gt;"",14&gt;=$C10,14&lt;=$D10),"●","")</f>
        <v/>
      </c>
      <c r="K10" s="8" t="str">
        <f>IF(AND(K$6&lt;&gt;"",15&gt;=$C10,15&lt;=$D10),"●","")</f>
        <v/>
      </c>
      <c r="L10" s="8" t="str">
        <f>IF(AND(L$6&lt;&gt;"",16&gt;=$C10,16&lt;=$D10),"●","")</f>
        <v/>
      </c>
      <c r="M10" s="8" t="str">
        <f>IF(AND(M$6&lt;&gt;"",17&gt;=$C10,17&lt;=$D10),"●","")</f>
        <v/>
      </c>
      <c r="N10" s="8" t="str">
        <f>IF(AND(N$6&lt;&gt;"",18&gt;=$C10,18&lt;=$D10),"●","")</f>
        <v/>
      </c>
    </row>
    <row r="11" spans="1:14" ht="30" customHeight="1">
      <c r="A11" s="5" t="s">
        <v>36</v>
      </c>
      <c r="B11" s="20" t="s">
        <v>19</v>
      </c>
      <c r="C11" s="7">
        <v>9</v>
      </c>
      <c r="D11" s="7">
        <v>10</v>
      </c>
      <c r="E11" s="6" t="s">
        <v>61</v>
      </c>
      <c r="F11" s="8" t="str">
        <f>IF(AND(F$6&lt;&gt;"",10&gt;=$C11,10&lt;=$D11),"●","")</f>
        <v>●</v>
      </c>
      <c r="G11" s="8" t="str">
        <f>IF(AND(G$6&lt;&gt;"",11&gt;=$C11,11&lt;=$D11),"●","")</f>
        <v/>
      </c>
      <c r="H11" s="8" t="str">
        <f>IF(AND(H$6&lt;&gt;"",12&gt;=$C11,12&lt;=$D11),"●","")</f>
        <v/>
      </c>
      <c r="I11" s="8" t="str">
        <f>IF(AND(I$6&lt;&gt;"",13&gt;=$C11,13&lt;=$D11),"●","")</f>
        <v/>
      </c>
      <c r="J11" s="8" t="str">
        <f>IF(AND(J$6&lt;&gt;"",14&gt;=$C11,14&lt;=$D11),"●","")</f>
        <v/>
      </c>
      <c r="K11" s="8" t="str">
        <f>IF(AND(K$6&lt;&gt;"",15&gt;=$C11,15&lt;=$D11),"●","")</f>
        <v/>
      </c>
      <c r="L11" s="8" t="str">
        <f>IF(AND(L$6&lt;&gt;"",16&gt;=$C11,16&lt;=$D11),"●","")</f>
        <v/>
      </c>
      <c r="M11" s="8" t="str">
        <f>IF(AND(M$6&lt;&gt;"",17&gt;=$C11,17&lt;=$D11),"●","")</f>
        <v/>
      </c>
      <c r="N11" s="8" t="str">
        <f>IF(AND(N$6&lt;&gt;"",18&gt;=$C11,18&lt;=$D11),"●","")</f>
        <v/>
      </c>
    </row>
    <row r="12" spans="1:14" ht="36.950000000000003" customHeight="1">
      <c r="A12" s="5" t="s">
        <v>37</v>
      </c>
      <c r="B12" s="20" t="s">
        <v>64</v>
      </c>
      <c r="C12" s="7">
        <v>9</v>
      </c>
      <c r="D12" s="7">
        <v>10</v>
      </c>
      <c r="E12" s="6" t="s">
        <v>61</v>
      </c>
      <c r="F12" s="8" t="str">
        <f>IF(AND(F$6&lt;&gt;"",10&gt;=$C12,10&lt;=$D12),"●","")</f>
        <v>●</v>
      </c>
      <c r="G12" s="8" t="str">
        <f>IF(AND(G$6&lt;&gt;"",11&gt;=$C12,11&lt;=$D12),"●","")</f>
        <v/>
      </c>
      <c r="H12" s="8" t="str">
        <f>IF(AND(H$6&lt;&gt;"",12&gt;=$C12,12&lt;=$D12),"●","")</f>
        <v/>
      </c>
      <c r="I12" s="8" t="str">
        <f>IF(AND(I$6&lt;&gt;"",13&gt;=$C12,13&lt;=$D12),"●","")</f>
        <v/>
      </c>
      <c r="J12" s="8" t="str">
        <f>IF(AND(J$6&lt;&gt;"",14&gt;=$C12,14&lt;=$D12),"●","")</f>
        <v/>
      </c>
      <c r="K12" s="8" t="str">
        <f>IF(AND(K$6&lt;&gt;"",15&gt;=$C12,15&lt;=$D12),"●","")</f>
        <v/>
      </c>
      <c r="L12" s="8" t="str">
        <f>IF(AND(L$6&lt;&gt;"",16&gt;=$C12,16&lt;=$D12),"●","")</f>
        <v/>
      </c>
      <c r="M12" s="8" t="str">
        <f>IF(AND(M$6&lt;&gt;"",17&gt;=$C12,17&lt;=$D12),"●","")</f>
        <v/>
      </c>
      <c r="N12" s="8" t="str">
        <f>IF(AND(N$6&lt;&gt;"",18&gt;=$C12,18&lt;=$D12),"●","")</f>
        <v/>
      </c>
    </row>
    <row r="13" spans="1:14" ht="30" customHeight="1">
      <c r="A13" s="9" t="s">
        <v>51</v>
      </c>
      <c r="B13" s="10" t="s">
        <v>19</v>
      </c>
      <c r="C13" s="11">
        <v>10</v>
      </c>
      <c r="D13" s="11">
        <v>10</v>
      </c>
      <c r="E13" s="12" t="s">
        <v>27</v>
      </c>
      <c r="F13" s="13" t="str">
        <f>IF(AND(F$6&lt;&gt;"",10&gt;=$C13,10&lt;=$D13),"◆","")</f>
        <v>◆</v>
      </c>
      <c r="G13" s="13" t="str">
        <f>IF(AND(G$6&lt;&gt;"",11&gt;=$C13,11&lt;=$D13),"◆","")</f>
        <v/>
      </c>
      <c r="H13" s="13" t="str">
        <f>IF(AND(H$6&lt;&gt;"",12&gt;=$C13,12&lt;=$D13),"◆","")</f>
        <v/>
      </c>
      <c r="I13" s="13" t="str">
        <f>IF(AND(I$6&lt;&gt;"",13&gt;=$C13,13&lt;=$D13),"◆","")</f>
        <v/>
      </c>
      <c r="J13" s="13" t="str">
        <f>IF(AND(J$6&lt;&gt;"",14&gt;=$C13,14&lt;=$D13),"◆","")</f>
        <v/>
      </c>
      <c r="K13" s="13" t="str">
        <f>IF(AND(K$6&lt;&gt;"",15&gt;=$C13,15&lt;=$D13),"◆","")</f>
        <v/>
      </c>
      <c r="L13" s="13" t="str">
        <f>IF(AND(L$6&lt;&gt;"",16&gt;=$C13,16&lt;=$D13),"◆","")</f>
        <v/>
      </c>
      <c r="M13" s="13" t="str">
        <f>IF(AND(M$6&lt;&gt;"",17&gt;=$C13,17&lt;=$D13),"◆","")</f>
        <v/>
      </c>
      <c r="N13" s="13" t="str">
        <f>IF(AND(N$6&lt;&gt;"",18&gt;=$C13,18&lt;=$D13),"◆","")</f>
        <v/>
      </c>
    </row>
    <row r="14" spans="1:14" ht="27.95" customHeight="1">
      <c r="A14" s="19" t="s">
        <v>52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30" customHeight="1">
      <c r="A15" s="5" t="s">
        <v>53</v>
      </c>
      <c r="B15" s="6" t="s">
        <v>54</v>
      </c>
      <c r="C15" s="7">
        <v>11</v>
      </c>
      <c r="D15" s="7">
        <v>13</v>
      </c>
      <c r="E15" s="6" t="s">
        <v>32</v>
      </c>
      <c r="F15" s="8" t="str">
        <f t="shared" ref="F15:F20" si="0">IF(AND(F$6&lt;&gt;"",10&gt;=$C15,10&lt;=$D15),"●","")</f>
        <v/>
      </c>
      <c r="G15" s="8" t="str">
        <f t="shared" ref="G15:G20" si="1">IF(AND(G$6&lt;&gt;"",11&gt;=$C15,11&lt;=$D15),"●","")</f>
        <v>●</v>
      </c>
      <c r="H15" s="8" t="str">
        <f t="shared" ref="H15:H20" si="2">IF(AND(H$6&lt;&gt;"",12&gt;=$C15,12&lt;=$D15),"●","")</f>
        <v>●</v>
      </c>
      <c r="I15" s="8" t="str">
        <f t="shared" ref="I15:I20" si="3">IF(AND(I$6&lt;&gt;"",13&gt;=$C15,13&lt;=$D15),"●","")</f>
        <v>●</v>
      </c>
      <c r="J15" s="8" t="str">
        <f t="shared" ref="J15:J20" si="4">IF(AND(J$6&lt;&gt;"",14&gt;=$C15,14&lt;=$D15),"●","")</f>
        <v/>
      </c>
      <c r="K15" s="8" t="str">
        <f t="shared" ref="K15:K20" si="5">IF(AND(K$6&lt;&gt;"",15&gt;=$C15,15&lt;=$D15),"●","")</f>
        <v/>
      </c>
      <c r="L15" s="8" t="str">
        <f t="shared" ref="L15:L20" si="6">IF(AND(L$6&lt;&gt;"",16&gt;=$C15,16&lt;=$D15),"●","")</f>
        <v/>
      </c>
      <c r="M15" s="8" t="str">
        <f t="shared" ref="M15:M20" si="7">IF(AND(M$6&lt;&gt;"",17&gt;=$C15,17&lt;=$D15),"●","")</f>
        <v/>
      </c>
      <c r="N15" s="8" t="str">
        <f t="shared" ref="N15:N20" si="8">IF(AND(N$6&lt;&gt;"",18&gt;=$C15,18&lt;=$D15),"●","")</f>
        <v/>
      </c>
    </row>
    <row r="16" spans="1:14" ht="30" customHeight="1">
      <c r="A16" s="5" t="s">
        <v>55</v>
      </c>
      <c r="B16" s="6" t="s">
        <v>19</v>
      </c>
      <c r="C16" s="7">
        <v>11</v>
      </c>
      <c r="D16" s="7">
        <v>14</v>
      </c>
      <c r="E16" s="6" t="s">
        <v>32</v>
      </c>
      <c r="F16" s="8" t="str">
        <f t="shared" si="0"/>
        <v/>
      </c>
      <c r="G16" s="8" t="str">
        <f t="shared" si="1"/>
        <v>●</v>
      </c>
      <c r="H16" s="8" t="str">
        <f t="shared" si="2"/>
        <v>●</v>
      </c>
      <c r="I16" s="8" t="str">
        <f t="shared" si="3"/>
        <v>●</v>
      </c>
      <c r="J16" s="8" t="str">
        <f t="shared" si="4"/>
        <v>●</v>
      </c>
      <c r="K16" s="8" t="str">
        <f t="shared" si="5"/>
        <v/>
      </c>
      <c r="L16" s="8" t="str">
        <f t="shared" si="6"/>
        <v/>
      </c>
      <c r="M16" s="8" t="str">
        <f t="shared" si="7"/>
        <v/>
      </c>
      <c r="N16" s="8" t="str">
        <f t="shared" si="8"/>
        <v/>
      </c>
    </row>
    <row r="17" spans="1:14" ht="30" customHeight="1">
      <c r="A17" s="5" t="s">
        <v>56</v>
      </c>
      <c r="B17" s="6" t="s">
        <v>19</v>
      </c>
      <c r="C17" s="7">
        <v>12</v>
      </c>
      <c r="D17" s="7">
        <v>15</v>
      </c>
      <c r="E17" s="6" t="s">
        <v>32</v>
      </c>
      <c r="F17" s="8" t="str">
        <f t="shared" si="0"/>
        <v/>
      </c>
      <c r="G17" s="8" t="str">
        <f t="shared" si="1"/>
        <v/>
      </c>
      <c r="H17" s="8" t="str">
        <f t="shared" si="2"/>
        <v>●</v>
      </c>
      <c r="I17" s="8" t="str">
        <f t="shared" si="3"/>
        <v>●</v>
      </c>
      <c r="J17" s="8" t="str">
        <f t="shared" si="4"/>
        <v>●</v>
      </c>
      <c r="K17" s="8" t="str">
        <f t="shared" si="5"/>
        <v>●</v>
      </c>
      <c r="L17" s="8" t="str">
        <f t="shared" si="6"/>
        <v/>
      </c>
      <c r="M17" s="8" t="str">
        <f t="shared" si="7"/>
        <v/>
      </c>
      <c r="N17" s="8" t="str">
        <f t="shared" si="8"/>
        <v/>
      </c>
    </row>
    <row r="18" spans="1:14" ht="36.950000000000003" customHeight="1">
      <c r="A18" s="5" t="s">
        <v>57</v>
      </c>
      <c r="B18" s="6" t="s">
        <v>19</v>
      </c>
      <c r="C18" s="7">
        <v>14</v>
      </c>
      <c r="D18" s="7">
        <v>16</v>
      </c>
      <c r="E18" s="6" t="s">
        <v>32</v>
      </c>
      <c r="F18" s="8" t="str">
        <f t="shared" si="0"/>
        <v/>
      </c>
      <c r="G18" s="8" t="str">
        <f t="shared" si="1"/>
        <v/>
      </c>
      <c r="H18" s="8" t="str">
        <f t="shared" si="2"/>
        <v/>
      </c>
      <c r="I18" s="8" t="str">
        <f t="shared" si="3"/>
        <v/>
      </c>
      <c r="J18" s="8" t="str">
        <f t="shared" si="4"/>
        <v>●</v>
      </c>
      <c r="K18" s="8" t="str">
        <f t="shared" si="5"/>
        <v>●</v>
      </c>
      <c r="L18" s="8" t="str">
        <f t="shared" si="6"/>
        <v>●</v>
      </c>
      <c r="M18" s="8" t="str">
        <f t="shared" si="7"/>
        <v/>
      </c>
      <c r="N18" s="8" t="str">
        <f t="shared" si="8"/>
        <v/>
      </c>
    </row>
    <row r="19" spans="1:14" ht="30" customHeight="1">
      <c r="A19" s="5" t="s">
        <v>58</v>
      </c>
      <c r="B19" s="6" t="s">
        <v>19</v>
      </c>
      <c r="C19" s="7">
        <v>15</v>
      </c>
      <c r="D19" s="7">
        <v>17</v>
      </c>
      <c r="E19" s="6" t="s">
        <v>32</v>
      </c>
      <c r="F19" s="8" t="str">
        <f t="shared" si="0"/>
        <v/>
      </c>
      <c r="G19" s="8" t="str">
        <f t="shared" si="1"/>
        <v/>
      </c>
      <c r="H19" s="8" t="str">
        <f t="shared" si="2"/>
        <v/>
      </c>
      <c r="I19" s="8" t="str">
        <f t="shared" si="3"/>
        <v/>
      </c>
      <c r="J19" s="8" t="str">
        <f t="shared" si="4"/>
        <v/>
      </c>
      <c r="K19" s="8" t="str">
        <f t="shared" si="5"/>
        <v>●</v>
      </c>
      <c r="L19" s="8" t="str">
        <f t="shared" si="6"/>
        <v>●</v>
      </c>
      <c r="M19" s="8" t="str">
        <f t="shared" si="7"/>
        <v>●</v>
      </c>
      <c r="N19" s="8" t="str">
        <f t="shared" si="8"/>
        <v/>
      </c>
    </row>
    <row r="20" spans="1:14" ht="30" customHeight="1">
      <c r="A20" s="5" t="s">
        <v>59</v>
      </c>
      <c r="B20" s="6" t="s">
        <v>19</v>
      </c>
      <c r="C20" s="7">
        <v>17</v>
      </c>
      <c r="D20" s="7">
        <v>18</v>
      </c>
      <c r="E20" s="6" t="s">
        <v>32</v>
      </c>
      <c r="F20" s="8" t="str">
        <f t="shared" si="0"/>
        <v/>
      </c>
      <c r="G20" s="8" t="str">
        <f t="shared" si="1"/>
        <v/>
      </c>
      <c r="H20" s="8" t="str">
        <f t="shared" si="2"/>
        <v/>
      </c>
      <c r="I20" s="8" t="str">
        <f t="shared" si="3"/>
        <v/>
      </c>
      <c r="J20" s="8" t="str">
        <f t="shared" si="4"/>
        <v/>
      </c>
      <c r="K20" s="8" t="str">
        <f t="shared" si="5"/>
        <v/>
      </c>
      <c r="L20" s="8" t="str">
        <f t="shared" si="6"/>
        <v/>
      </c>
      <c r="M20" s="8" t="str">
        <f t="shared" si="7"/>
        <v>●</v>
      </c>
      <c r="N20" s="8" t="str">
        <f t="shared" si="8"/>
        <v>●</v>
      </c>
    </row>
    <row r="21" spans="1:14" ht="30" customHeight="1">
      <c r="A21" s="9" t="s">
        <v>60</v>
      </c>
      <c r="B21" s="10" t="s">
        <v>19</v>
      </c>
      <c r="C21" s="11">
        <v>18</v>
      </c>
      <c r="D21" s="11">
        <v>18</v>
      </c>
      <c r="E21" s="14" t="s">
        <v>32</v>
      </c>
      <c r="F21" s="13" t="str">
        <f>IF(AND(F$6&lt;&gt;"",10&gt;=$C21,10&lt;=$D21),"◆","")</f>
        <v/>
      </c>
      <c r="G21" s="13" t="str">
        <f>IF(AND(G$6&lt;&gt;"",11&gt;=$C21,11&lt;=$D21),"◆","")</f>
        <v/>
      </c>
      <c r="H21" s="13" t="str">
        <f>IF(AND(H$6&lt;&gt;"",12&gt;=$C21,12&lt;=$D21),"◆","")</f>
        <v/>
      </c>
      <c r="I21" s="13" t="str">
        <f>IF(AND(I$6&lt;&gt;"",13&gt;=$C21,13&lt;=$D21),"◆","")</f>
        <v/>
      </c>
      <c r="J21" s="13" t="str">
        <f>IF(AND(J$6&lt;&gt;"",14&gt;=$C21,14&lt;=$D21),"◆","")</f>
        <v/>
      </c>
      <c r="K21" s="13" t="str">
        <f>IF(AND(K$6&lt;&gt;"",15&gt;=$C21,15&lt;=$D21),"◆","")</f>
        <v/>
      </c>
      <c r="L21" s="13" t="str">
        <f>IF(AND(L$6&lt;&gt;"",16&gt;=$C21,16&lt;=$D21),"◆","")</f>
        <v/>
      </c>
      <c r="M21" s="13" t="str">
        <f>IF(AND(M$6&lt;&gt;"",17&gt;=$C21,17&lt;=$D21),"◆","")</f>
        <v/>
      </c>
      <c r="N21" s="13" t="str">
        <f>IF(AND(N$6&lt;&gt;"",18&gt;=$C21,18&lt;=$D21),"◆","")</f>
        <v>◆</v>
      </c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7" customHeight="1">
      <c r="A23" s="15" t="s">
        <v>38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</sheetData>
  <mergeCells count="6">
    <mergeCell ref="A23:N23"/>
    <mergeCell ref="A2:N2"/>
    <mergeCell ref="A3:N3"/>
    <mergeCell ref="A5:N5"/>
    <mergeCell ref="A7:N7"/>
    <mergeCell ref="A14:N14"/>
  </mergeCells>
  <conditionalFormatting sqref="F8:N12">
    <cfRule type="expression" dxfId="3" priority="1">
      <formula>AND(F$6&lt;&gt;"",VALUE(MID(F$6,2,2))&gt;=$C8,VALUE(MID(F$6,2,2))&lt;=$D8)</formula>
    </cfRule>
  </conditionalFormatting>
  <conditionalFormatting sqref="F13:N13">
    <cfRule type="expression" dxfId="2" priority="6">
      <formula>AND(F$6&lt;&gt;"",VALUE(MID(F$6,2,2))&gt;=$C13,VALUE(MID(F$6,2,2))&lt;=$D13)</formula>
    </cfRule>
  </conditionalFormatting>
  <conditionalFormatting sqref="F15:N20">
    <cfRule type="expression" dxfId="1" priority="7">
      <formula>AND(F$6&lt;&gt;"",VALUE(MID(F$6,2,2))&gt;=$C15,VALUE(MID(F$6,2,2))&lt;=$D15)</formula>
    </cfRule>
  </conditionalFormatting>
  <conditionalFormatting sqref="F21:N21">
    <cfRule type="expression" dxfId="0" priority="13">
      <formula>AND(F$6&lt;&gt;"",VALUE(MID(F$6,2,2))&gt;=$C21,VALUE(MID(F$6,2,2))&lt;=$D21)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Semanas 1-9</vt:lpstr>
      <vt:lpstr>Semanas 10-18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EMANUEL ANTHONY ESPINOZA CASO</cp:lastModifiedBy>
  <dcterms:modified xsi:type="dcterms:W3CDTF">2026-10-12T23:00:03Z</dcterms:modified>
</cp:coreProperties>
</file>