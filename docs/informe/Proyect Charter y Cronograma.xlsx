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anuel\Downloads\"/>
    </mc:Choice>
  </mc:AlternateContent>
  <xr:revisionPtr revIDLastSave="0" documentId="13_ncr:1_{E07EDD4F-3549-4F61-9DB4-72B299C405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Charter" sheetId="1" r:id="rId1"/>
    <sheet name="Cronograma APF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3" l="1"/>
  <c r="Q20" i="3"/>
  <c r="P20" i="3"/>
  <c r="O20" i="3"/>
  <c r="N20" i="3"/>
  <c r="M20" i="3"/>
  <c r="L20" i="3"/>
  <c r="K20" i="3"/>
  <c r="G20" i="3"/>
  <c r="R19" i="3"/>
  <c r="Q19" i="3"/>
  <c r="P19" i="3"/>
  <c r="O19" i="3"/>
  <c r="N19" i="3"/>
  <c r="M19" i="3"/>
  <c r="L19" i="3"/>
  <c r="K19" i="3"/>
  <c r="G19" i="3"/>
  <c r="R18" i="3"/>
  <c r="Q18" i="3"/>
  <c r="P18" i="3"/>
  <c r="O18" i="3"/>
  <c r="N18" i="3"/>
  <c r="M18" i="3"/>
  <c r="L18" i="3"/>
  <c r="K18" i="3"/>
  <c r="G18" i="3"/>
  <c r="R17" i="3"/>
  <c r="Q17" i="3"/>
  <c r="P17" i="3"/>
  <c r="O17" i="3"/>
  <c r="N17" i="3"/>
  <c r="M17" i="3"/>
  <c r="L17" i="3"/>
  <c r="K17" i="3"/>
  <c r="G17" i="3"/>
  <c r="R16" i="3"/>
  <c r="Q16" i="3"/>
  <c r="P16" i="3"/>
  <c r="O16" i="3"/>
  <c r="N16" i="3"/>
  <c r="M16" i="3"/>
  <c r="L16" i="3"/>
  <c r="K16" i="3"/>
  <c r="G16" i="3"/>
  <c r="R15" i="3"/>
  <c r="Q15" i="3"/>
  <c r="P15" i="3"/>
  <c r="O15" i="3"/>
  <c r="N15" i="3"/>
  <c r="M15" i="3"/>
  <c r="L15" i="3"/>
  <c r="K15" i="3"/>
  <c r="G15" i="3"/>
  <c r="R14" i="3"/>
  <c r="Q14" i="3"/>
  <c r="P14" i="3"/>
  <c r="O14" i="3"/>
  <c r="N14" i="3"/>
  <c r="M14" i="3"/>
  <c r="L14" i="3"/>
  <c r="K14" i="3"/>
  <c r="G14" i="3"/>
  <c r="R13" i="3"/>
  <c r="Q13" i="3"/>
  <c r="P13" i="3"/>
  <c r="O13" i="3"/>
  <c r="N13" i="3"/>
  <c r="M13" i="3"/>
  <c r="L13" i="3"/>
  <c r="K13" i="3"/>
  <c r="G13" i="3"/>
  <c r="R12" i="3"/>
  <c r="Q12" i="3"/>
  <c r="P12" i="3"/>
  <c r="O12" i="3"/>
  <c r="N12" i="3"/>
  <c r="M12" i="3"/>
  <c r="L12" i="3"/>
  <c r="K12" i="3"/>
  <c r="G12" i="3"/>
  <c r="R11" i="3"/>
  <c r="Q11" i="3"/>
  <c r="P11" i="3"/>
  <c r="O11" i="3"/>
  <c r="N11" i="3"/>
  <c r="M11" i="3"/>
  <c r="L11" i="3"/>
  <c r="K11" i="3"/>
  <c r="G11" i="3"/>
  <c r="J5" i="3"/>
  <c r="G5" i="3"/>
  <c r="D5" i="3"/>
</calcChain>
</file>

<file path=xl/sharedStrings.xml><?xml version="1.0" encoding="utf-8"?>
<sst xmlns="http://schemas.openxmlformats.org/spreadsheetml/2006/main" count="302" uniqueCount="248">
  <si>
    <t>MEALFLOW | PROJECT CHARTER</t>
  </si>
  <si>
    <t>Lo bueno sigue fluyendo. · Plataforma web mobile-first para reducir el desperdicio alimentario</t>
  </si>
  <si>
    <t>1. Identificación del proyecto</t>
  </si>
  <si>
    <t>Proyecto</t>
  </si>
  <si>
    <t>MealFlow</t>
  </si>
  <si>
    <t>Curso</t>
  </si>
  <si>
    <t>Desarrollo Web Integrado</t>
  </si>
  <si>
    <t>Modalidad</t>
  </si>
  <si>
    <t>Proyecto grupal</t>
  </si>
  <si>
    <t>Estado</t>
  </si>
  <si>
    <t>Primer avance</t>
  </si>
  <si>
    <t>Lema</t>
  </si>
  <si>
    <t>Lo bueno sigue fluyendo.</t>
  </si>
  <si>
    <t>Arquitectura</t>
  </si>
  <si>
    <t>Monolito modular organizado por capas</t>
  </si>
  <si>
    <t>Plataforma</t>
  </si>
  <si>
    <t>Web mobile-first</t>
  </si>
  <si>
    <t>Versión</t>
  </si>
  <si>
    <t>0.0.1-SNAPSHOT</t>
  </si>
  <si>
    <t>Líder / coordinador</t>
  </si>
  <si>
    <t>Emanuel</t>
  </si>
  <si>
    <t>Equipo</t>
  </si>
  <si>
    <t>Emanuel, Daniel, Franco, Piero y Alejandro</t>
  </si>
  <si>
    <t>Fecha de elaboración</t>
  </si>
  <si>
    <t>Horizonte</t>
  </si>
  <si>
    <t>Semanas 5 a 18</t>
  </si>
  <si>
    <t>Tecnologías base</t>
  </si>
  <si>
    <t>Java 21 y Spring Boot 4.1.1</t>
  </si>
  <si>
    <t>Persistencia</t>
  </si>
  <si>
    <t>Spring Data JPA</t>
  </si>
  <si>
    <t>Bases de datos</t>
  </si>
  <si>
    <t>H2 (desarrollo) y MySQL (final)</t>
  </si>
  <si>
    <t>Gestión</t>
  </si>
  <si>
    <t>Maven y GitHub</t>
  </si>
  <si>
    <t>2. Problema y justificación</t>
  </si>
  <si>
    <t>Cada día, panaderías, restaurantes y supermercados descartan alimentos preparados que aún son aptos para el consumo debido al cierre de jornada y a políticas de inventario. MealFlow busca conectar esos excedentes con consumidores urbanos interesados en ahorrar y reducir el desperdicio. La propuesta permite a los establecimientos recuperar parte de sus costos y brinda al consumidor alimentos de calidad a precios reducidos, sin convertirse en un servicio de delivery.</t>
  </si>
  <si>
    <t>3. Objetivo general</t>
  </si>
  <si>
    <t>Diseñar e implementar progresivamente una plataforma web mobile-first que permita a establecimientos de alimentos publicar y vender packs sorpresa de excedentes, y a los consumidores descubrirlos, pagarlos de forma simulada, reservarlos y recogerlos localmente mediante un código de compra.</t>
  </si>
  <si>
    <t>4. Alcance del proyecto</t>
  </si>
  <si>
    <t>Incluido en el alcance</t>
  </si>
  <si>
    <t>Fuera del alcance de esta versión</t>
  </si>
  <si>
    <t>• Registro e inicio de sesión con perfiles consumidor y empresarial.
• Empresas con varios establecimientos; cada local se evalúa por separado.
• Carga y revisión manual de documentos del establecimiento.
• Un pack sorpresa activo por local, con tamaños, precios y stock.
• Búsqueda por zona textual, precio y calificación.
• Pagos simulados por tarjeta de débito y Yape; efectivo solo por QR presencial.
• Reserva, cancelación, código de recojo, calificación, comentarios e impacto conceptual.</t>
  </si>
  <si>
    <t>• Servicio de delivery.
• Procesamiento de pagos reales o conexión bancaria.
• Geolocalización GPS y mapas en tiempo real.
• Lectura automática de documentos mediante OCR.
• Inicio de sesión con proveedores externos.
• Aplicaciones móviles nativas.
• Arquitectura de microservicios o infraestructura de producción avanzada.</t>
  </si>
  <si>
    <t>5. Entregables e hitos principales</t>
  </si>
  <si>
    <t>Hito</t>
  </si>
  <si>
    <t>Fecha límite</t>
  </si>
  <si>
    <t>Entregables principales</t>
  </si>
  <si>
    <t>Responsables</t>
  </si>
  <si>
    <t>Criterio de aceptación</t>
  </si>
  <si>
    <t>Avance 1 · Semana 5</t>
  </si>
  <si>
    <t>Informe inicial, antecedentes, Project Charter, cronograma, diagramas, prototipos, clases de dominio, ZIP del proyecto y repositorio GitHub.</t>
  </si>
  <si>
    <t>Todo el equipo</t>
  </si>
  <si>
    <t>En progreso</t>
  </si>
  <si>
    <t>Entrega completa y coherente con la consigna; backend base compila y ejecuta.</t>
  </si>
  <si>
    <t>Avance 2 · Semana 10</t>
  </si>
  <si>
    <t>Incremento funcional integrado, persistencia, interfaces principales, pruebas y documentación actualizada.</t>
  </si>
  <si>
    <t>No iniciado</t>
  </si>
  <si>
    <t>Flujo principal demostrable y evidencias de pruebas e integración.</t>
  </si>
  <si>
    <t>Entrega final · Semana 18</t>
  </si>
  <si>
    <t>Sistema integrado, documentación final, reportes de calidad y seguridad, anexos, presentación y demostración.</t>
  </si>
  <si>
    <t>Solución estable, ejecutable, documentada y lista para exposición.</t>
  </si>
  <si>
    <t>6. Equipo y responsabilidades</t>
  </si>
  <si>
    <t>Integrante</t>
  </si>
  <si>
    <t>Especialidad / módulo</t>
  </si>
  <si>
    <t>Responsabilidades principales</t>
  </si>
  <si>
    <t>Coordinación requerida</t>
  </si>
  <si>
    <t>Evidencia esperada</t>
  </si>
  <si>
    <t>Rol en exposición</t>
  </si>
  <si>
    <t>Identidad y estructura empresarial</t>
  </si>
  <si>
    <t>Coordinar el avance; modelar cuentas, perfiles, empresas y relación con establecimientos; integrar el informe.</t>
  </si>
  <si>
    <t>Con todos para mantener alcance y documentación coherentes.</t>
  </si>
  <si>
    <t>Sección del informe, prototipo y clases asignadas.</t>
  </si>
  <si>
    <t>Problema, solución y alcance.</t>
  </si>
  <si>
    <t>Daniel</t>
  </si>
  <si>
    <t>Afiliación, documentos y base backend</t>
  </si>
  <si>
    <t>Estructura Spring Boot; solicitudes, documentos, revisión y aprobación/suspensión de establecimientos; diagrama de clases.</t>
  </si>
  <si>
    <t>Con Emanuel por empresa/establecimiento y con Franco por persistencia.</t>
  </si>
  <si>
    <t>Backend base, clases, diagrama y prototipo.</t>
  </si>
  <si>
    <t>Arquitectura y afiliación.</t>
  </si>
  <si>
    <t>Franco</t>
  </si>
  <si>
    <t>Ofertas y persistencia</t>
  </si>
  <si>
    <t>Modelar pack sorpresa, variantes, stock, alérgenos y restricciones; elaborar el modelo entidad-relación integral.</t>
  </si>
  <si>
    <t>Con Piero por reserva y con Daniel por JPA/base de datos.</t>
  </si>
  <si>
    <t>Modelo ER, clases, antecedente y prototipo.</t>
  </si>
  <si>
    <t>Ofertas y datos.</t>
  </si>
  <si>
    <t>Piero</t>
  </si>
  <si>
    <t>Reservas y recojo</t>
  </si>
  <si>
    <t>Modelar reservas, códigos, estados y confirmación de recojo; casos de uso y fundamento teórico asignado.</t>
  </si>
  <si>
    <t>Con Franco por stock y con Alejandro por pago/cancelación.</t>
  </si>
  <si>
    <t>Casos de uso, clases, teoría y prototipo.</t>
  </si>
  <si>
    <t>Reserva y recojo.</t>
  </si>
  <si>
    <t>Alejandro</t>
  </si>
  <si>
    <t>Pagos y experiencia posterior</t>
  </si>
  <si>
    <t>Modelar pagos simulados, comisión, cancelación, calificaciones, comentarios e impacto; apoyar planificación.</t>
  </si>
  <si>
    <t>Con Piero por reserva y con Emanuel por reglas de negocio.</t>
  </si>
  <si>
    <t>Clases, prototipo y aportes de planificación.</t>
  </si>
  <si>
    <t>Pago, reputación e impacto.</t>
  </si>
  <si>
    <t>7. Stakeholders principales</t>
  </si>
  <si>
    <t>Grupo</t>
  </si>
  <si>
    <t>Stakeholder</t>
  </si>
  <si>
    <t>Interés / necesidad</t>
  </si>
  <si>
    <t>Influencia</t>
  </si>
  <si>
    <t>Participación esperada</t>
  </si>
  <si>
    <t>Tratamiento</t>
  </si>
  <si>
    <t>Interno</t>
  </si>
  <si>
    <t>Equipo MealFlow</t>
  </si>
  <si>
    <t>Cumplir entregables y construir una solución coherente y demostrable.</t>
  </si>
  <si>
    <t>Alta</t>
  </si>
  <si>
    <t>Diseño, desarrollo, pruebas, documentación y exposición.</t>
  </si>
  <si>
    <t>Reuniones breves, tareas por módulo y revisión cruzada.</t>
  </si>
  <si>
    <t>Administrador de plataforma</t>
  </si>
  <si>
    <t>Revisar solicitudes y documentos; aprobar, rechazar o suspender locales.</t>
  </si>
  <si>
    <t>Validación de reglas y flujo administrativo.</t>
  </si>
  <si>
    <t>Prototipos y casos de uso claros.</t>
  </si>
  <si>
    <t>Externo</t>
  </si>
  <si>
    <t>Empresas y propietarios</t>
  </si>
  <si>
    <t>Registrar su empresa y conocer resultados generales de sus establecimientos.</t>
  </si>
  <si>
    <t>Aportar necesidades de afiliación, operación y métricas.</t>
  </si>
  <si>
    <t>Panel empresarial simple y trazable.</t>
  </si>
  <si>
    <t>Personal del establecimiento</t>
  </si>
  <si>
    <t>Publicar el pack, confirmar pagos en efectivo y validar recojos.</t>
  </si>
  <si>
    <t>Media</t>
  </si>
  <si>
    <t>Validar facilidad del flujo operativo.</t>
  </si>
  <si>
    <t>Interfaz breve y orientada a tareas.</t>
  </si>
  <si>
    <t>Consumidores de 18 a 40 años</t>
  </si>
  <si>
    <t>Ahorrar, encontrar ofertas confiables y recogerlas sin fricción.</t>
  </si>
  <si>
    <t>Validar búsqueda, compra, recojo y calificación.</t>
  </si>
  <si>
    <t>Diseño mobile-first y lenguaje sencillo.</t>
  </si>
  <si>
    <t>Académico</t>
  </si>
  <si>
    <t>Docente del curso</t>
  </si>
  <si>
    <t>Evaluar aplicación de arquitectura, modelado, desarrollo, pruebas y documentación.</t>
  </si>
  <si>
    <t>Retroalimentación en cada entrega.</t>
  </si>
  <si>
    <t>Evidencias verificables y exposición coordinada.</t>
  </si>
  <si>
    <t>8. Supuestos y restricciones</t>
  </si>
  <si>
    <t>Supuestos</t>
  </si>
  <si>
    <t>Restricciones</t>
  </si>
  <si>
    <t>• Los pagos y reembolsos serán simulados.
• Cada establecimiento gestiona una ubicación y sus documentos.
• La cuenta propietaria crea cuentas operativas después de la aprobación.
• La revisión documental es manual.
• H2 se utiliza para desarrollo rápido y MySQL para la integración final.</t>
  </si>
  <si>
    <t>• Equipo de cinco estudiantes con experiencia técnica desigual.
• Entregas académicas fijas en las semanas 5, 10 y 18.
• Tiempo y recursos limitados; se evita tecnología avanzada fuera del alcance.
• Frontend con HTML, CSS, JavaScript y Tailwind CSS.
• Trabajo coordinado mediante GitHub y ramas por tarea/avance.</t>
  </si>
  <si>
    <t>9. Riesgos y respuesta planificada</t>
  </si>
  <si>
    <t>Riesgo</t>
  </si>
  <si>
    <t>Probabilidad</t>
  </si>
  <si>
    <t>Impacto</t>
  </si>
  <si>
    <t>Nivel</t>
  </si>
  <si>
    <t>Respuesta / mitigación</t>
  </si>
  <si>
    <t>Responsable</t>
  </si>
  <si>
    <t>Señal de alerta</t>
  </si>
  <si>
    <t>Aportes tardíos o incompletos</t>
  </si>
  <si>
    <t>Alto</t>
  </si>
  <si>
    <t>Entregables pequeños, fecha interna previa y revisión diaria del avance.</t>
  </si>
  <si>
    <t>Tarea sin evidencia 48 horas antes.</t>
  </si>
  <si>
    <t>Inconsistencia entre informe, diagramas y código</t>
  </si>
  <si>
    <t>Mantener decisiones en docs y hacer una revisión cruzada antes de integrar.</t>
  </si>
  <si>
    <t>Nombres o reglas distintas entre artefactos.</t>
  </si>
  <si>
    <t>Conflictos de Git o pérdida de cambios</t>
  </si>
  <si>
    <t>Medio</t>
  </si>
  <si>
    <t>Ramas por trabajo, commits pequeños y fusión revisada mediante pull request.</t>
  </si>
  <si>
    <t>Archivos binarios o comunes editados a la vez.</t>
  </si>
  <si>
    <t>Crecimiento no controlado del alcance</t>
  </si>
  <si>
    <t>Crítico</t>
  </si>
  <si>
    <t>Priorizar el flujo principal y registrar nuevas ideas para versiones posteriores.</t>
  </si>
  <si>
    <t>Nueva función sin relación con la rúbrica.</t>
  </si>
  <si>
    <t>Fallos de integración entre módulos</t>
  </si>
  <si>
    <t>Acordar contratos, probar por módulo e integrar de forma incremental desde la semana 6.</t>
  </si>
  <si>
    <t>Daniel y Franco</t>
  </si>
  <si>
    <t>Código compila aislado pero no en main.</t>
  </si>
  <si>
    <t>Tiempo insuficiente para pruebas</t>
  </si>
  <si>
    <t>Crear pruebas junto con cada funcionalidad y reservar semanas 15 y 16 para validación global.</t>
  </si>
  <si>
    <t>Funciones cerradas sin casos de prueba.</t>
  </si>
  <si>
    <t>10. Criterios de éxito</t>
  </si>
  <si>
    <t>• Los tres hitos se entregan dentro de las fechas establecidas.
• El informe, los diagramas, los prototipos y el código utilizan los mismos conceptos y reglas de negocio.
• El backend compila, ejecuta y cuenta con pruebas verificables; la solución final usa MySQL sin perder el flujo validado con H2.
• El flujo principal —afiliación, publicación, descubrimiento, pago simulado, reserva, recojo y calificación— puede demostrarse de extremo a extremo.
• El repositorio conserva historial claro de contribuciones y documentación comprensible para todo el equipo.
• Cada integrante puede explicar su módulo y su relación con el sistema completo.</t>
  </si>
  <si>
    <t>11. Aprobación y control de cambios</t>
  </si>
  <si>
    <t>Aprobación académica</t>
  </si>
  <si>
    <t>1.0</t>
  </si>
  <si>
    <t>Fecha</t>
  </si>
  <si>
    <t>Regla de cambio</t>
  </si>
  <si>
    <t>Todo cambio de alcance debe registrarse en docs/decisiones, revisar su impacto en el cronograma y comunicarse al equipo antes de implementarlo.</t>
  </si>
  <si>
    <t>Nota</t>
  </si>
  <si>
    <t>Documento base editable. Las fechas de los avances 1, 2 y final corresponden a las semanas 5, 10 y 18 confirmadas para el curso.</t>
  </si>
  <si>
    <t>ACTIVIDADES</t>
  </si>
  <si>
    <t>COMPLETADAS</t>
  </si>
  <si>
    <t>ID</t>
  </si>
  <si>
    <t>Actividad</t>
  </si>
  <si>
    <t>Inicio</t>
  </si>
  <si>
    <t>Fin</t>
  </si>
  <si>
    <t>Completado</t>
  </si>
  <si>
    <t>Emanuel + equipo</t>
  </si>
  <si>
    <t>Daniel, Piero y Franco</t>
  </si>
  <si>
    <t>Emanuel / Alejandro</t>
  </si>
  <si>
    <t>Daniel + equipo</t>
  </si>
  <si>
    <t>MEALFLOW | CRONOGRAMA DEL PRIMER AVANCE</t>
  </si>
  <si>
    <t>Periodo reconstruido: 1 al 8 de septiembre de 2026 · Entrega: martes 8 de septiembre, 6:00 p. m.</t>
  </si>
  <si>
    <t>PERIODO</t>
  </si>
  <si>
    <t>AVANCE REGISTRADO</t>
  </si>
  <si>
    <t>01/09–08/09</t>
  </si>
  <si>
    <t>Nota: cronograma retrospectivo con fechas aproximadas. Antes de presentarlo, contrastar cada actividad con commits, versiones de archivos o mensajes del equipo y corregir cualquier diferencia.</t>
  </si>
  <si>
    <t>ACTIVIDADES DEL AVANCE 1</t>
  </si>
  <si>
    <t>Frente de trabajo</t>
  </si>
  <si>
    <t>Responsable(s)</t>
  </si>
  <si>
    <t>Duración
(días)</t>
  </si>
  <si>
    <t>Observación</t>
  </si>
  <si>
    <t>Mar</t>
  </si>
  <si>
    <t>Mié</t>
  </si>
  <si>
    <t>Jue</t>
  </si>
  <si>
    <t>Vie</t>
  </si>
  <si>
    <t>Sáb</t>
  </si>
  <si>
    <t>Dom</t>
  </si>
  <si>
    <t>Lun</t>
  </si>
  <si>
    <t>Planificación</t>
  </si>
  <si>
    <t>Revisar la consigna, la plantilla y delimitar el alcance del primer avance</t>
  </si>
  <si>
    <t>Acuerdos iniciales y estructura del informe</t>
  </si>
  <si>
    <t>Base común antes de dividir el trabajo</t>
  </si>
  <si>
    <t>Análisis</t>
  </si>
  <si>
    <t>Definir reglas del negocio, actores, flujo general y decisiones del proyecto</t>
  </si>
  <si>
    <t>Documentación en docs/decisiones</t>
  </si>
  <si>
    <t>Incluye afiliación, packs, pagos y recojo</t>
  </si>
  <si>
    <t>Organización</t>
  </si>
  <si>
    <t>Distribuir tareas independientes y módulos entre los cinco integrantes</t>
  </si>
  <si>
    <t>Asignación de la semana 5</t>
  </si>
  <si>
    <t>Cada integrante se especializa en un módulo</t>
  </si>
  <si>
    <t>Investigación</t>
  </si>
  <si>
    <t>Investigar antecedentes y preparar fundamentos teóricos asignados</t>
  </si>
  <si>
    <t>Emanuel, Franco, Piero y Alejandro</t>
  </si>
  <si>
    <t>Antecedentes y marco teórico</t>
  </si>
  <si>
    <t>Validar que cada aporte tenga su fuente</t>
  </si>
  <si>
    <t>Modelado</t>
  </si>
  <si>
    <t>Construir el diagrama de clases, los casos de uso y el modelo entidad-relación integral</t>
  </si>
  <si>
    <t>Diagramas UML y modelo ER</t>
  </si>
  <si>
    <t>Revisar coherencia con las clases de dominio</t>
  </si>
  <si>
    <t>Diseño</t>
  </si>
  <si>
    <t>Preparar los prototipos mobile-first correspondientes a cada módulo</t>
  </si>
  <si>
    <t>Capturas y explicación de prototipos</t>
  </si>
  <si>
    <t>Se evalúa principalmente el flujo representado</t>
  </si>
  <si>
    <t>Backend</t>
  </si>
  <si>
    <t>Configurar Spring Boot y crear las clases de dominio organizadas por módulos</t>
  </si>
  <si>
    <t>Backend ejecutable y clases integradas</t>
  </si>
  <si>
    <t>Java 21, Spring Boot 4.1.1, H2 y Maven</t>
  </si>
  <si>
    <t>Documentación</t>
  </si>
  <si>
    <t>Redactar e integrar las secciones del informe del primer avance</t>
  </si>
  <si>
    <t>Informe Word consolidado</t>
  </si>
  <si>
    <t>Incorporar aportes sin alterar su responsabilidad</t>
  </si>
  <si>
    <t>Elaborar el Project Charter y el cronograma del avance</t>
  </si>
  <si>
    <t>Anexos de planificación</t>
  </si>
  <si>
    <t>Fechas y responsables revisados</t>
  </si>
  <si>
    <t>Cierre</t>
  </si>
  <si>
    <t>Revisar consistencia, preparar ZIP, repositorio y ensayo de exposición</t>
  </si>
  <si>
    <t>Paquete final y guion de exposición</t>
  </si>
  <si>
    <t>Cerrar antes de las 6:00 p. m. del día 8</t>
  </si>
  <si>
    <t>Leyenda: ● actividad desarrollada o programada en esa fecha · Los estados y fechas son editables para que coincidan con la evidencia real del equipo.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</si>
</sst>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6" formatCode="dd/mmm"/>
  </numFmts>
  <fonts count="15">
    <font>
      <sz val="11"/>
      <name val="Carlito"/>
    </font>
    <font>
      <b/>
      <sz val="22"/>
      <color rgb="FFFFFFFF"/>
      <name val="Aptos Display"/>
    </font>
    <font>
      <i/>
      <sz val="11"/>
      <color rgb="FF07593D"/>
      <name val="Aptos"/>
    </font>
    <font>
      <b/>
      <sz val="12"/>
      <color rgb="FFFFFFFF"/>
      <name val="Aptos"/>
    </font>
    <font>
      <sz val="10"/>
      <color rgb="FF1F2937"/>
      <name val="Aptos"/>
    </font>
    <font>
      <b/>
      <sz val="10"/>
      <color rgb="FFFFFFFF"/>
      <name val="Aptos"/>
    </font>
    <font>
      <b/>
      <sz val="10"/>
      <color rgb="FF1F2937"/>
      <name val="Aptos"/>
    </font>
    <font>
      <sz val="10"/>
      <color rgb="FF1F2937"/>
      <name val="Aptos"/>
    </font>
    <font>
      <b/>
      <sz val="9"/>
      <color rgb="FFFFFFFF"/>
      <name val="Aptos"/>
    </font>
    <font>
      <b/>
      <sz val="16"/>
      <color rgb="FF0B7A53"/>
      <name val="Aptos Display"/>
    </font>
    <font>
      <b/>
      <sz val="12"/>
      <color rgb="FF0B7A53"/>
      <name val="Aptos"/>
    </font>
    <font>
      <i/>
      <sz val="10"/>
      <color rgb="FF92400E"/>
      <name val="Aptos"/>
    </font>
    <font>
      <b/>
      <sz val="11"/>
      <color rgb="FFFFFFFF"/>
      <name val="Aptos"/>
    </font>
    <font>
      <b/>
      <sz val="9"/>
      <color rgb="FF07593D"/>
      <name val="Aptos"/>
    </font>
    <font>
      <i/>
      <sz val="9"/>
      <color rgb="FF07593D"/>
      <name val="Aptos"/>
    </font>
  </fonts>
  <fills count="11">
    <fill>
      <patternFill patternType="none"/>
    </fill>
    <fill>
      <patternFill patternType="gray125"/>
    </fill>
    <fill>
      <patternFill patternType="solid">
        <fgColor rgb="FF07593D"/>
      </patternFill>
    </fill>
    <fill>
      <patternFill patternType="solid">
        <fgColor rgb="FFE8F5EF"/>
      </patternFill>
    </fill>
    <fill>
      <patternFill patternType="solid">
        <fgColor rgb="FF0B7A53"/>
      </patternFill>
    </fill>
    <fill>
      <patternFill patternType="solid">
        <fgColor rgb="FFFFFFFF"/>
      </patternFill>
    </fill>
    <fill>
      <patternFill patternType="solid">
        <fgColor rgb="FFF2FAF6"/>
      </patternFill>
    </fill>
    <fill>
      <patternFill patternType="solid">
        <fgColor rgb="FFFEF3C7"/>
      </patternFill>
    </fill>
    <fill>
      <patternFill patternType="solid">
        <fgColor rgb="FFFFF8E8"/>
      </patternFill>
    </fill>
    <fill>
      <patternFill patternType="solid">
        <fgColor rgb="FF1F2937"/>
      </patternFill>
    </fill>
    <fill>
      <patternFill patternType="solid">
        <fgColor rgb="FFF4FBF7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0" borderId="0" xfId="0" applyFont="1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center"/>
    </xf>
    <xf numFmtId="0" fontId="3" fillId="4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 wrapText="1"/>
    </xf>
    <xf numFmtId="164" fontId="4" fillId="5" borderId="6" xfId="0" applyNumberFormat="1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center" vertical="center" wrapText="1"/>
    </xf>
    <xf numFmtId="165" fontId="4" fillId="5" borderId="6" xfId="0" applyNumberFormat="1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left" vertical="top" wrapText="1"/>
    </xf>
    <xf numFmtId="164" fontId="4" fillId="5" borderId="6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/>
    </xf>
    <xf numFmtId="0" fontId="4" fillId="5" borderId="6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top" wrapText="1"/>
    </xf>
    <xf numFmtId="0" fontId="7" fillId="0" borderId="6" xfId="0" applyFont="1" applyBorder="1"/>
    <xf numFmtId="0" fontId="5" fillId="9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8" fillId="9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9" fontId="9" fillId="5" borderId="7" xfId="0" applyNumberFormat="1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vertical="center" wrapText="1"/>
    </xf>
    <xf numFmtId="0" fontId="11" fillId="7" borderId="10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166" fontId="13" fillId="3" borderId="7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vertical="center" wrapText="1"/>
    </xf>
    <xf numFmtId="164" fontId="4" fillId="5" borderId="11" xfId="0" applyNumberFormat="1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vertical="center" wrapText="1"/>
    </xf>
    <xf numFmtId="164" fontId="4" fillId="10" borderId="11" xfId="0" applyNumberFormat="1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4" fillId="3" borderId="14" xfId="0" applyFont="1" applyFill="1" applyBorder="1" applyAlignment="1">
      <alignment vertical="center"/>
    </xf>
  </cellXfs>
  <cellStyles count="1">
    <cellStyle name="Normal" xfId="0" builtinId="0"/>
  </cellStyles>
  <dxfs count="5">
    <dxf>
      <font>
        <b/>
        <color rgb="FFFFFFFF"/>
      </font>
      <fill>
        <patternFill patternType="solid">
          <bgColor rgb="FF0B7A53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i/>
        <color rgb="FF6B7280"/>
      </font>
      <fill>
        <patternFill patternType="solid">
          <bgColor rgb="FFF3F4F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7593D"/>
      </font>
      <fill>
        <patternFill patternType="solid">
          <bgColor rgb="FFE8F5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5"/>
  <sheetViews>
    <sheetView tabSelected="1" zoomScaleNormal="100" workbookViewId="0">
      <selection activeCell="I41" sqref="I41"/>
    </sheetView>
  </sheetViews>
  <sheetFormatPr baseColWidth="10" defaultColWidth="9" defaultRowHeight="14.25"/>
  <cols>
    <col min="1" max="1" width="18" customWidth="1"/>
    <col min="2" max="2" width="24" customWidth="1"/>
    <col min="3" max="3" width="18" customWidth="1"/>
    <col min="4" max="4" width="24" customWidth="1"/>
    <col min="5" max="5" width="16.875" bestFit="1" customWidth="1"/>
    <col min="6" max="6" width="25" customWidth="1"/>
    <col min="7" max="7" width="16.75" bestFit="1" customWidth="1"/>
    <col min="8" max="8" width="35.5" customWidth="1"/>
  </cols>
  <sheetData>
    <row r="1" spans="1:8" ht="33.950000000000003" customHeight="1">
      <c r="A1" s="29" t="s">
        <v>0</v>
      </c>
      <c r="B1" s="29"/>
      <c r="C1" s="29"/>
      <c r="D1" s="29"/>
      <c r="E1" s="29"/>
      <c r="F1" s="29"/>
      <c r="G1" s="29"/>
      <c r="H1" s="29"/>
    </row>
    <row r="2" spans="1:8" ht="24" customHeight="1">
      <c r="A2" s="30" t="s">
        <v>1</v>
      </c>
      <c r="B2" s="30"/>
      <c r="C2" s="30"/>
      <c r="D2" s="30"/>
      <c r="E2" s="30"/>
      <c r="F2" s="30"/>
      <c r="G2" s="30"/>
      <c r="H2" s="30"/>
    </row>
    <row r="3" spans="1:8">
      <c r="A3" s="8"/>
      <c r="B3" s="8"/>
      <c r="C3" s="8"/>
      <c r="D3" s="8"/>
      <c r="E3" s="8"/>
      <c r="F3" s="8"/>
      <c r="G3" s="8"/>
      <c r="H3" s="8"/>
    </row>
    <row r="4" spans="1:8" ht="15.75">
      <c r="A4" s="23" t="s">
        <v>2</v>
      </c>
      <c r="B4" s="23"/>
      <c r="C4" s="23"/>
      <c r="D4" s="23"/>
      <c r="E4" s="23"/>
      <c r="F4" s="23"/>
      <c r="G4" s="23"/>
      <c r="H4" s="23"/>
    </row>
    <row r="5" spans="1:8">
      <c r="A5" s="10" t="s">
        <v>3</v>
      </c>
      <c r="B5" s="11" t="s">
        <v>4</v>
      </c>
      <c r="C5" s="10" t="s">
        <v>5</v>
      </c>
      <c r="D5" s="11" t="s">
        <v>6</v>
      </c>
      <c r="E5" s="10" t="s">
        <v>7</v>
      </c>
      <c r="F5" s="11" t="s">
        <v>8</v>
      </c>
      <c r="G5" s="10" t="s">
        <v>9</v>
      </c>
      <c r="H5" s="11" t="s">
        <v>10</v>
      </c>
    </row>
    <row r="6" spans="1:8" ht="27">
      <c r="A6" s="10" t="s">
        <v>11</v>
      </c>
      <c r="B6" s="11" t="s">
        <v>12</v>
      </c>
      <c r="C6" s="10" t="s">
        <v>13</v>
      </c>
      <c r="D6" s="11" t="s">
        <v>14</v>
      </c>
      <c r="E6" s="10" t="s">
        <v>15</v>
      </c>
      <c r="F6" s="11" t="s">
        <v>16</v>
      </c>
      <c r="G6" s="10" t="s">
        <v>17</v>
      </c>
      <c r="H6" s="11" t="s">
        <v>18</v>
      </c>
    </row>
    <row r="7" spans="1:8" ht="27">
      <c r="A7" s="10" t="s">
        <v>19</v>
      </c>
      <c r="B7" s="11" t="s">
        <v>20</v>
      </c>
      <c r="C7" s="10" t="s">
        <v>21</v>
      </c>
      <c r="D7" s="11" t="s">
        <v>22</v>
      </c>
      <c r="E7" s="10" t="s">
        <v>23</v>
      </c>
      <c r="F7" s="12">
        <v>46273</v>
      </c>
      <c r="G7" s="10" t="s">
        <v>24</v>
      </c>
      <c r="H7" s="11" t="s">
        <v>25</v>
      </c>
    </row>
    <row r="8" spans="1:8">
      <c r="A8" s="10" t="s">
        <v>26</v>
      </c>
      <c r="B8" s="11" t="s">
        <v>27</v>
      </c>
      <c r="C8" s="10" t="s">
        <v>28</v>
      </c>
      <c r="D8" s="11" t="s">
        <v>29</v>
      </c>
      <c r="E8" s="10" t="s">
        <v>30</v>
      </c>
      <c r="F8" s="11" t="s">
        <v>31</v>
      </c>
      <c r="G8" s="10" t="s">
        <v>32</v>
      </c>
      <c r="H8" s="11" t="s">
        <v>33</v>
      </c>
    </row>
    <row r="9" spans="1:8" ht="15.75">
      <c r="A9" s="9" t="s">
        <v>34</v>
      </c>
      <c r="B9" s="9"/>
      <c r="C9" s="9"/>
      <c r="D9" s="9"/>
      <c r="E9" s="9"/>
      <c r="F9" s="9"/>
      <c r="G9" s="9"/>
      <c r="H9" s="9"/>
    </row>
    <row r="10" spans="1:8" ht="34.5" customHeight="1">
      <c r="A10" s="22" t="s">
        <v>35</v>
      </c>
      <c r="B10" s="22"/>
      <c r="C10" s="22"/>
      <c r="D10" s="22"/>
      <c r="E10" s="22"/>
      <c r="F10" s="22"/>
      <c r="G10" s="22"/>
      <c r="H10" s="22"/>
    </row>
    <row r="11" spans="1:8" ht="34.5" customHeight="1">
      <c r="A11" s="23" t="s">
        <v>36</v>
      </c>
      <c r="B11" s="23"/>
      <c r="C11" s="23"/>
      <c r="D11" s="23"/>
      <c r="E11" s="23"/>
      <c r="F11" s="23"/>
      <c r="G11" s="23"/>
      <c r="H11" s="23"/>
    </row>
    <row r="12" spans="1:8" ht="33.75" customHeight="1">
      <c r="A12" s="20" t="s">
        <v>37</v>
      </c>
      <c r="B12" s="20"/>
      <c r="C12" s="20"/>
      <c r="D12" s="20"/>
      <c r="E12" s="20"/>
      <c r="F12" s="20"/>
      <c r="G12" s="20"/>
      <c r="H12" s="20"/>
    </row>
    <row r="13" spans="1:8" ht="24" customHeight="1">
      <c r="A13" s="23" t="s">
        <v>38</v>
      </c>
      <c r="B13" s="23"/>
      <c r="C13" s="23"/>
      <c r="D13" s="23"/>
      <c r="E13" s="23"/>
      <c r="F13" s="23"/>
      <c r="G13" s="23"/>
      <c r="H13" s="23"/>
    </row>
    <row r="14" spans="1:8">
      <c r="A14" s="27" t="s">
        <v>39</v>
      </c>
      <c r="B14" s="27"/>
      <c r="C14" s="27"/>
      <c r="D14" s="27"/>
      <c r="E14" s="28" t="s">
        <v>40</v>
      </c>
      <c r="F14" s="28"/>
      <c r="G14" s="28"/>
      <c r="H14" s="28"/>
    </row>
    <row r="15" spans="1:8" ht="100.5" customHeight="1">
      <c r="A15" s="20" t="s">
        <v>41</v>
      </c>
      <c r="B15" s="20"/>
      <c r="C15" s="20"/>
      <c r="D15" s="20"/>
      <c r="E15" s="21" t="s">
        <v>42</v>
      </c>
      <c r="F15" s="21"/>
      <c r="G15" s="21"/>
      <c r="H15" s="21"/>
    </row>
    <row r="16" spans="1:8" ht="33" customHeight="1">
      <c r="A16" s="23" t="s">
        <v>43</v>
      </c>
      <c r="B16" s="23"/>
      <c r="C16" s="23"/>
      <c r="D16" s="23"/>
      <c r="E16" s="23"/>
      <c r="F16" s="23"/>
      <c r="G16" s="23"/>
      <c r="H16" s="23"/>
    </row>
    <row r="17" spans="1:8" ht="24.95" customHeight="1">
      <c r="A17" s="14" t="s">
        <v>44</v>
      </c>
      <c r="B17" s="14" t="s">
        <v>45</v>
      </c>
      <c r="C17" s="26" t="s">
        <v>46</v>
      </c>
      <c r="D17" s="26"/>
      <c r="E17" s="26"/>
      <c r="F17" s="14" t="s">
        <v>47</v>
      </c>
      <c r="G17" s="14" t="s">
        <v>9</v>
      </c>
      <c r="H17" s="14" t="s">
        <v>48</v>
      </c>
    </row>
    <row r="18" spans="1:8" ht="27">
      <c r="A18" s="11" t="s">
        <v>49</v>
      </c>
      <c r="B18" s="15">
        <v>46273.75</v>
      </c>
      <c r="C18" s="20" t="s">
        <v>50</v>
      </c>
      <c r="D18" s="20"/>
      <c r="E18" s="20"/>
      <c r="F18" s="11" t="s">
        <v>51</v>
      </c>
      <c r="G18" s="11" t="s">
        <v>52</v>
      </c>
      <c r="H18" s="11" t="s">
        <v>53</v>
      </c>
    </row>
    <row r="19" spans="1:8" ht="27">
      <c r="A19" s="11" t="s">
        <v>54</v>
      </c>
      <c r="B19" s="15">
        <v>46308.75</v>
      </c>
      <c r="C19" s="20" t="s">
        <v>55</v>
      </c>
      <c r="D19" s="20"/>
      <c r="E19" s="20"/>
      <c r="F19" s="11" t="s">
        <v>51</v>
      </c>
      <c r="G19" s="11" t="s">
        <v>56</v>
      </c>
      <c r="H19" s="11" t="s">
        <v>57</v>
      </c>
    </row>
    <row r="20" spans="1:8" ht="27">
      <c r="A20" s="11" t="s">
        <v>58</v>
      </c>
      <c r="B20" s="15">
        <v>46363.75</v>
      </c>
      <c r="C20" s="20" t="s">
        <v>59</v>
      </c>
      <c r="D20" s="20"/>
      <c r="E20" s="20"/>
      <c r="F20" s="11" t="s">
        <v>51</v>
      </c>
      <c r="G20" s="11" t="s">
        <v>56</v>
      </c>
      <c r="H20" s="11" t="s">
        <v>60</v>
      </c>
    </row>
    <row r="21" spans="1:8" ht="23.1" customHeight="1">
      <c r="A21" s="9" t="s">
        <v>61</v>
      </c>
      <c r="B21" s="9"/>
      <c r="C21" s="9"/>
      <c r="D21" s="9"/>
      <c r="E21" s="9"/>
      <c r="F21" s="9"/>
      <c r="G21" s="9"/>
      <c r="H21" s="9"/>
    </row>
    <row r="22" spans="1:8" ht="23.1" customHeight="1">
      <c r="A22" s="14" t="s">
        <v>62</v>
      </c>
      <c r="B22" s="14" t="s">
        <v>63</v>
      </c>
      <c r="C22" s="14" t="s">
        <v>64</v>
      </c>
      <c r="D22" s="14"/>
      <c r="E22" s="14"/>
      <c r="F22" s="14" t="s">
        <v>65</v>
      </c>
      <c r="G22" s="14" t="s">
        <v>66</v>
      </c>
      <c r="H22" s="14" t="s">
        <v>67</v>
      </c>
    </row>
    <row r="23" spans="1:8" ht="40.5">
      <c r="A23" s="11" t="s">
        <v>20</v>
      </c>
      <c r="B23" s="11" t="s">
        <v>68</v>
      </c>
      <c r="C23" s="20" t="s">
        <v>69</v>
      </c>
      <c r="D23" s="20"/>
      <c r="E23" s="20"/>
      <c r="F23" s="11" t="s">
        <v>70</v>
      </c>
      <c r="G23" s="11" t="s">
        <v>71</v>
      </c>
      <c r="H23" s="11" t="s">
        <v>72</v>
      </c>
    </row>
    <row r="24" spans="1:8" ht="40.5">
      <c r="A24" s="13" t="s">
        <v>73</v>
      </c>
      <c r="B24" s="13" t="s">
        <v>74</v>
      </c>
      <c r="C24" s="22" t="s">
        <v>75</v>
      </c>
      <c r="D24" s="22"/>
      <c r="E24" s="22"/>
      <c r="F24" s="13" t="s">
        <v>76</v>
      </c>
      <c r="G24" s="13" t="s">
        <v>77</v>
      </c>
      <c r="H24" s="13" t="s">
        <v>78</v>
      </c>
    </row>
    <row r="25" spans="1:8" ht="40.5">
      <c r="A25" s="11" t="s">
        <v>79</v>
      </c>
      <c r="B25" s="11" t="s">
        <v>80</v>
      </c>
      <c r="C25" s="20" t="s">
        <v>81</v>
      </c>
      <c r="D25" s="20"/>
      <c r="E25" s="20"/>
      <c r="F25" s="11" t="s">
        <v>82</v>
      </c>
      <c r="G25" s="11" t="s">
        <v>83</v>
      </c>
      <c r="H25" s="11" t="s">
        <v>84</v>
      </c>
    </row>
    <row r="26" spans="1:8" ht="27">
      <c r="A26" s="13" t="s">
        <v>85</v>
      </c>
      <c r="B26" s="13" t="s">
        <v>86</v>
      </c>
      <c r="C26" s="22" t="s">
        <v>87</v>
      </c>
      <c r="D26" s="22"/>
      <c r="E26" s="22"/>
      <c r="F26" s="13" t="s">
        <v>88</v>
      </c>
      <c r="G26" s="13" t="s">
        <v>89</v>
      </c>
      <c r="H26" s="13" t="s">
        <v>90</v>
      </c>
    </row>
    <row r="27" spans="1:8" ht="40.5">
      <c r="A27" s="11" t="s">
        <v>91</v>
      </c>
      <c r="B27" s="11" t="s">
        <v>92</v>
      </c>
      <c r="C27" s="20" t="s">
        <v>93</v>
      </c>
      <c r="D27" s="20"/>
      <c r="E27" s="20"/>
      <c r="F27" s="11" t="s">
        <v>94</v>
      </c>
      <c r="G27" s="11" t="s">
        <v>95</v>
      </c>
      <c r="H27" s="11" t="s">
        <v>96</v>
      </c>
    </row>
    <row r="28" spans="1:8" ht="15.75">
      <c r="A28" s="9" t="s">
        <v>97</v>
      </c>
      <c r="B28" s="9"/>
      <c r="C28" s="9"/>
      <c r="D28" s="9"/>
      <c r="E28" s="9"/>
      <c r="F28" s="9"/>
      <c r="G28" s="9"/>
      <c r="H28" s="9"/>
    </row>
    <row r="29" spans="1:8">
      <c r="A29" s="14" t="s">
        <v>98</v>
      </c>
      <c r="B29" s="14" t="s">
        <v>99</v>
      </c>
      <c r="C29" s="14" t="s">
        <v>100</v>
      </c>
      <c r="D29" s="14"/>
      <c r="E29" s="14" t="s">
        <v>101</v>
      </c>
      <c r="F29" s="14" t="s">
        <v>102</v>
      </c>
      <c r="G29" s="14"/>
      <c r="H29" s="14" t="s">
        <v>103</v>
      </c>
    </row>
    <row r="30" spans="1:8" ht="27">
      <c r="A30" s="11" t="s">
        <v>104</v>
      </c>
      <c r="B30" s="11" t="s">
        <v>105</v>
      </c>
      <c r="C30" s="20" t="s">
        <v>106</v>
      </c>
      <c r="D30" s="20"/>
      <c r="E30" s="11" t="s">
        <v>107</v>
      </c>
      <c r="F30" s="20" t="s">
        <v>108</v>
      </c>
      <c r="G30" s="20"/>
      <c r="H30" s="11" t="s">
        <v>109</v>
      </c>
    </row>
    <row r="31" spans="1:8" ht="27" customHeight="1">
      <c r="A31" s="13" t="s">
        <v>104</v>
      </c>
      <c r="B31" s="13" t="s">
        <v>110</v>
      </c>
      <c r="C31" s="22" t="s">
        <v>111</v>
      </c>
      <c r="D31" s="22"/>
      <c r="E31" s="13" t="s">
        <v>107</v>
      </c>
      <c r="F31" s="22" t="s">
        <v>112</v>
      </c>
      <c r="G31" s="22"/>
      <c r="H31" s="13" t="s">
        <v>113</v>
      </c>
    </row>
    <row r="32" spans="1:8" ht="27" customHeight="1">
      <c r="A32" s="11" t="s">
        <v>114</v>
      </c>
      <c r="B32" s="11" t="s">
        <v>115</v>
      </c>
      <c r="C32" s="20" t="s">
        <v>116</v>
      </c>
      <c r="D32" s="20"/>
      <c r="E32" s="11" t="s">
        <v>107</v>
      </c>
      <c r="F32" s="20" t="s">
        <v>117</v>
      </c>
      <c r="G32" s="20"/>
      <c r="H32" s="11" t="s">
        <v>118</v>
      </c>
    </row>
    <row r="33" spans="1:8" ht="27" customHeight="1">
      <c r="A33" s="13" t="s">
        <v>114</v>
      </c>
      <c r="B33" s="13" t="s">
        <v>119</v>
      </c>
      <c r="C33" s="22" t="s">
        <v>120</v>
      </c>
      <c r="D33" s="22"/>
      <c r="E33" s="13" t="s">
        <v>121</v>
      </c>
      <c r="F33" s="22" t="s">
        <v>122</v>
      </c>
      <c r="G33" s="22"/>
      <c r="H33" s="13" t="s">
        <v>123</v>
      </c>
    </row>
    <row r="34" spans="1:8" ht="27" customHeight="1">
      <c r="A34" s="11" t="s">
        <v>114</v>
      </c>
      <c r="B34" s="11" t="s">
        <v>124</v>
      </c>
      <c r="C34" s="20" t="s">
        <v>125</v>
      </c>
      <c r="D34" s="20"/>
      <c r="E34" s="11" t="s">
        <v>107</v>
      </c>
      <c r="F34" s="20" t="s">
        <v>126</v>
      </c>
      <c r="G34" s="20"/>
      <c r="H34" s="11" t="s">
        <v>127</v>
      </c>
    </row>
    <row r="35" spans="1:8">
      <c r="A35" s="13" t="s">
        <v>128</v>
      </c>
      <c r="B35" s="13" t="s">
        <v>129</v>
      </c>
      <c r="C35" s="22" t="s">
        <v>130</v>
      </c>
      <c r="D35" s="22"/>
      <c r="E35" s="13" t="s">
        <v>107</v>
      </c>
      <c r="F35" s="22" t="s">
        <v>131</v>
      </c>
      <c r="G35" s="22"/>
      <c r="H35" s="13" t="s">
        <v>132</v>
      </c>
    </row>
    <row r="36" spans="1:8" ht="14.25" customHeight="1">
      <c r="A36" s="23" t="s">
        <v>133</v>
      </c>
      <c r="B36" s="23"/>
      <c r="C36" s="23"/>
      <c r="D36" s="23"/>
      <c r="E36" s="23"/>
      <c r="F36" s="23"/>
      <c r="G36" s="23"/>
      <c r="H36" s="23"/>
    </row>
    <row r="37" spans="1:8">
      <c r="A37" s="27" t="s">
        <v>134</v>
      </c>
      <c r="B37" s="27"/>
      <c r="C37" s="27"/>
      <c r="D37" s="27"/>
      <c r="E37" s="28" t="s">
        <v>135</v>
      </c>
      <c r="F37" s="28"/>
      <c r="G37" s="28"/>
      <c r="H37" s="28"/>
    </row>
    <row r="38" spans="1:8" ht="69" customHeight="1">
      <c r="A38" s="20" t="s">
        <v>136</v>
      </c>
      <c r="B38" s="20"/>
      <c r="C38" s="20"/>
      <c r="D38" s="20"/>
      <c r="E38" s="21" t="s">
        <v>137</v>
      </c>
      <c r="F38" s="21"/>
      <c r="G38" s="21"/>
      <c r="H38" s="21"/>
    </row>
    <row r="39" spans="1:8" ht="15.75">
      <c r="A39" s="23" t="s">
        <v>138</v>
      </c>
      <c r="B39" s="23"/>
      <c r="C39" s="23"/>
      <c r="D39" s="23"/>
      <c r="E39" s="23"/>
      <c r="F39" s="23"/>
      <c r="G39" s="23"/>
      <c r="H39" s="23"/>
    </row>
    <row r="40" spans="1:8">
      <c r="A40" s="14" t="s">
        <v>139</v>
      </c>
      <c r="B40" s="14" t="s">
        <v>140</v>
      </c>
      <c r="C40" s="14" t="s">
        <v>141</v>
      </c>
      <c r="D40" s="14" t="s">
        <v>142</v>
      </c>
      <c r="E40" s="26" t="s">
        <v>143</v>
      </c>
      <c r="F40" s="26"/>
      <c r="G40" s="14" t="s">
        <v>144</v>
      </c>
      <c r="H40" s="14" t="s">
        <v>145</v>
      </c>
    </row>
    <row r="41" spans="1:8" ht="27">
      <c r="A41" s="11" t="s">
        <v>146</v>
      </c>
      <c r="B41" s="11" t="s">
        <v>121</v>
      </c>
      <c r="C41" s="11" t="s">
        <v>107</v>
      </c>
      <c r="D41" s="11" t="s">
        <v>147</v>
      </c>
      <c r="E41" s="20" t="s">
        <v>148</v>
      </c>
      <c r="F41" s="20"/>
      <c r="G41" s="11" t="s">
        <v>20</v>
      </c>
      <c r="H41" s="11" t="s">
        <v>149</v>
      </c>
    </row>
    <row r="42" spans="1:8" ht="40.5">
      <c r="A42" s="13" t="s">
        <v>150</v>
      </c>
      <c r="B42" s="13" t="s">
        <v>121</v>
      </c>
      <c r="C42" s="13" t="s">
        <v>107</v>
      </c>
      <c r="D42" s="13" t="s">
        <v>147</v>
      </c>
      <c r="E42" s="22" t="s">
        <v>151</v>
      </c>
      <c r="F42" s="22"/>
      <c r="G42" s="13" t="s">
        <v>51</v>
      </c>
      <c r="H42" s="13" t="s">
        <v>152</v>
      </c>
    </row>
    <row r="43" spans="1:8" ht="27">
      <c r="A43" s="11" t="s">
        <v>153</v>
      </c>
      <c r="B43" s="11" t="s">
        <v>121</v>
      </c>
      <c r="C43" s="11" t="s">
        <v>121</v>
      </c>
      <c r="D43" s="11" t="s">
        <v>154</v>
      </c>
      <c r="E43" s="20" t="s">
        <v>155</v>
      </c>
      <c r="F43" s="20"/>
      <c r="G43" s="11" t="s">
        <v>51</v>
      </c>
      <c r="H43" s="11" t="s">
        <v>156</v>
      </c>
    </row>
    <row r="44" spans="1:8" ht="27">
      <c r="A44" s="13" t="s">
        <v>157</v>
      </c>
      <c r="B44" s="13" t="s">
        <v>107</v>
      </c>
      <c r="C44" s="13" t="s">
        <v>107</v>
      </c>
      <c r="D44" s="13" t="s">
        <v>158</v>
      </c>
      <c r="E44" s="22" t="s">
        <v>159</v>
      </c>
      <c r="F44" s="22"/>
      <c r="G44" s="13" t="s">
        <v>20</v>
      </c>
      <c r="H44" s="13" t="s">
        <v>160</v>
      </c>
    </row>
    <row r="45" spans="1:8" ht="27">
      <c r="A45" s="11" t="s">
        <v>161</v>
      </c>
      <c r="B45" s="11" t="s">
        <v>121</v>
      </c>
      <c r="C45" s="11" t="s">
        <v>107</v>
      </c>
      <c r="D45" s="11" t="s">
        <v>147</v>
      </c>
      <c r="E45" s="20" t="s">
        <v>162</v>
      </c>
      <c r="F45" s="20"/>
      <c r="G45" s="11" t="s">
        <v>163</v>
      </c>
      <c r="H45" s="11" t="s">
        <v>164</v>
      </c>
    </row>
    <row r="46" spans="1:8" ht="27">
      <c r="A46" s="13" t="s">
        <v>165</v>
      </c>
      <c r="B46" s="13" t="s">
        <v>121</v>
      </c>
      <c r="C46" s="13" t="s">
        <v>107</v>
      </c>
      <c r="D46" s="13" t="s">
        <v>147</v>
      </c>
      <c r="E46" s="22" t="s">
        <v>166</v>
      </c>
      <c r="F46" s="22"/>
      <c r="G46" s="13" t="s">
        <v>51</v>
      </c>
      <c r="H46" s="13" t="s">
        <v>167</v>
      </c>
    </row>
    <row r="47" spans="1:8" ht="15.75">
      <c r="A47" s="23" t="s">
        <v>168</v>
      </c>
      <c r="B47" s="23"/>
      <c r="C47" s="23"/>
      <c r="D47" s="23"/>
      <c r="E47" s="23"/>
      <c r="F47" s="23"/>
      <c r="G47" s="23"/>
      <c r="H47" s="23"/>
    </row>
    <row r="48" spans="1:8" ht="87.75" customHeight="1">
      <c r="A48" s="22" t="s">
        <v>169</v>
      </c>
      <c r="B48" s="22"/>
      <c r="C48" s="22"/>
      <c r="D48" s="22"/>
      <c r="E48" s="22"/>
      <c r="F48" s="22"/>
      <c r="G48" s="22"/>
      <c r="H48" s="22"/>
    </row>
    <row r="49" spans="1:8" ht="15.75">
      <c r="A49" s="23" t="s">
        <v>170</v>
      </c>
      <c r="B49" s="23"/>
      <c r="C49" s="23"/>
      <c r="D49" s="23"/>
      <c r="E49" s="23"/>
      <c r="F49" s="23"/>
      <c r="G49" s="23"/>
      <c r="H49" s="23"/>
    </row>
    <row r="50" spans="1:8">
      <c r="A50" s="16" t="s">
        <v>144</v>
      </c>
      <c r="B50" s="17" t="s">
        <v>20</v>
      </c>
      <c r="C50" s="16" t="s">
        <v>171</v>
      </c>
      <c r="D50" s="17" t="s">
        <v>129</v>
      </c>
      <c r="E50" s="16" t="s">
        <v>17</v>
      </c>
      <c r="F50" s="17" t="s">
        <v>172</v>
      </c>
      <c r="G50" s="16" t="s">
        <v>173</v>
      </c>
      <c r="H50" s="18">
        <v>46273</v>
      </c>
    </row>
    <row r="51" spans="1:8" ht="15">
      <c r="A51" s="16" t="s">
        <v>174</v>
      </c>
      <c r="B51" s="24" t="s">
        <v>175</v>
      </c>
      <c r="C51" s="25"/>
      <c r="D51" s="25"/>
      <c r="E51" s="25"/>
      <c r="F51" s="25"/>
      <c r="G51" s="25"/>
      <c r="H51" s="25"/>
    </row>
    <row r="52" spans="1:8" ht="15">
      <c r="A52" s="16" t="s">
        <v>176</v>
      </c>
      <c r="B52" s="24" t="s">
        <v>177</v>
      </c>
      <c r="C52" s="25"/>
      <c r="D52" s="25"/>
      <c r="E52" s="25"/>
      <c r="F52" s="25"/>
      <c r="G52" s="25"/>
      <c r="H52" s="25"/>
    </row>
    <row r="55" spans="1:8">
      <c r="A55" s="2"/>
      <c r="B55" s="3"/>
      <c r="C55" s="3"/>
      <c r="D55" s="4"/>
      <c r="E55" s="2"/>
      <c r="F55" s="3"/>
      <c r="G55" s="3"/>
      <c r="H55" s="4"/>
    </row>
    <row r="56" spans="1:8">
      <c r="A56" s="2"/>
      <c r="B56" s="3"/>
      <c r="C56" s="3"/>
      <c r="D56" s="4"/>
      <c r="E56" s="2"/>
      <c r="F56" s="3"/>
      <c r="G56" s="3"/>
      <c r="H56" s="4"/>
    </row>
    <row r="57" spans="1:8">
      <c r="A57" s="2"/>
      <c r="B57" s="3"/>
      <c r="C57" s="3"/>
      <c r="D57" s="4"/>
      <c r="E57" s="2"/>
      <c r="F57" s="3"/>
      <c r="G57" s="3"/>
      <c r="H57" s="4"/>
    </row>
    <row r="58" spans="1:8">
      <c r="A58" s="5"/>
      <c r="B58" s="6"/>
      <c r="C58" s="6"/>
      <c r="D58" s="7"/>
      <c r="E58" s="5"/>
      <c r="F58" s="6"/>
      <c r="G58" s="6"/>
      <c r="H58" s="7"/>
    </row>
    <row r="59" spans="1:8" ht="15">
      <c r="A59" s="1"/>
      <c r="B59" s="1"/>
      <c r="C59" s="1"/>
      <c r="D59" s="1"/>
      <c r="E59" s="1"/>
      <c r="F59" s="1"/>
      <c r="G59" s="1"/>
      <c r="H59" s="1"/>
    </row>
    <row r="68" spans="1:8" ht="15">
      <c r="A68" s="1"/>
      <c r="B68" s="1"/>
      <c r="C68" s="1"/>
      <c r="D68" s="1"/>
      <c r="E68" s="1"/>
      <c r="F68" s="1"/>
      <c r="G68" s="1"/>
      <c r="H68" s="1"/>
    </row>
    <row r="71" spans="1:8">
      <c r="A71" s="2"/>
      <c r="B71" s="3"/>
      <c r="C71" s="3"/>
      <c r="D71" s="3"/>
      <c r="E71" s="3"/>
      <c r="F71" s="3"/>
      <c r="G71" s="3"/>
      <c r="H71" s="4"/>
    </row>
    <row r="72" spans="1:8">
      <c r="A72" s="2"/>
      <c r="B72" s="3"/>
      <c r="C72" s="3"/>
      <c r="D72" s="3"/>
      <c r="E72" s="3"/>
      <c r="F72" s="3"/>
      <c r="G72" s="3"/>
      <c r="H72" s="4"/>
    </row>
    <row r="73" spans="1:8">
      <c r="A73" s="2"/>
      <c r="B73" s="3"/>
      <c r="C73" s="3"/>
      <c r="D73" s="3"/>
      <c r="E73" s="3"/>
      <c r="F73" s="3"/>
      <c r="G73" s="3"/>
      <c r="H73" s="4"/>
    </row>
    <row r="74" spans="1:8">
      <c r="A74" s="5"/>
      <c r="B74" s="6"/>
      <c r="C74" s="6"/>
      <c r="D74" s="6"/>
      <c r="E74" s="6"/>
      <c r="F74" s="6"/>
      <c r="G74" s="6"/>
      <c r="H74" s="7"/>
    </row>
    <row r="75" spans="1:8" ht="15">
      <c r="A75" s="1"/>
      <c r="B75" s="1"/>
      <c r="C75" s="1"/>
      <c r="D75" s="1"/>
      <c r="E75" s="1"/>
      <c r="F75" s="1"/>
      <c r="G75" s="1"/>
      <c r="H75" s="1"/>
    </row>
  </sheetData>
  <mergeCells count="51">
    <mergeCell ref="A1:H1"/>
    <mergeCell ref="A2:H2"/>
    <mergeCell ref="A4:H4"/>
    <mergeCell ref="A10:H10"/>
    <mergeCell ref="A16:H16"/>
    <mergeCell ref="C17:E17"/>
    <mergeCell ref="C18:E18"/>
    <mergeCell ref="A11:H11"/>
    <mergeCell ref="A13:H13"/>
    <mergeCell ref="A14:D14"/>
    <mergeCell ref="E14:H14"/>
    <mergeCell ref="A12:H12"/>
    <mergeCell ref="C24:E24"/>
    <mergeCell ref="C25:E25"/>
    <mergeCell ref="C26:E26"/>
    <mergeCell ref="C27:E27"/>
    <mergeCell ref="C19:E19"/>
    <mergeCell ref="C20:E20"/>
    <mergeCell ref="C23:E23"/>
    <mergeCell ref="C34:D34"/>
    <mergeCell ref="F34:G34"/>
    <mergeCell ref="C30:D30"/>
    <mergeCell ref="F30:G30"/>
    <mergeCell ref="C31:D31"/>
    <mergeCell ref="F31:G31"/>
    <mergeCell ref="C32:D32"/>
    <mergeCell ref="F32:G32"/>
    <mergeCell ref="A49:H49"/>
    <mergeCell ref="B51:H51"/>
    <mergeCell ref="B52:H52"/>
    <mergeCell ref="E42:F42"/>
    <mergeCell ref="E43:F43"/>
    <mergeCell ref="E44:F44"/>
    <mergeCell ref="E45:F45"/>
    <mergeCell ref="E46:F46"/>
    <mergeCell ref="A15:D15"/>
    <mergeCell ref="E15:H15"/>
    <mergeCell ref="A38:D38"/>
    <mergeCell ref="E38:H38"/>
    <mergeCell ref="A48:H48"/>
    <mergeCell ref="A47:H47"/>
    <mergeCell ref="A39:H39"/>
    <mergeCell ref="E40:F40"/>
    <mergeCell ref="E41:F41"/>
    <mergeCell ref="C35:D35"/>
    <mergeCell ref="F35:G35"/>
    <mergeCell ref="A36:H36"/>
    <mergeCell ref="A37:D37"/>
    <mergeCell ref="E37:H37"/>
    <mergeCell ref="C33:D33"/>
    <mergeCell ref="F33:G33"/>
  </mergeCells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0A10-B345-4F70-82B8-4CC648260DFA}">
  <dimension ref="A1:R22"/>
  <sheetViews>
    <sheetView topLeftCell="A5" zoomScale="55" zoomScaleNormal="55" workbookViewId="0">
      <selection activeCell="U19" sqref="U19"/>
    </sheetView>
  </sheetViews>
  <sheetFormatPr baseColWidth="10" defaultRowHeight="14.25"/>
  <sheetData>
    <row r="1" spans="1:18" ht="28.5">
      <c r="A1" s="31" t="s">
        <v>189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5">
      <c r="A2" s="19" t="s">
        <v>190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4" spans="1:18">
      <c r="A4" s="32" t="s">
        <v>191</v>
      </c>
      <c r="B4" s="32"/>
      <c r="C4" s="32"/>
      <c r="D4" s="32" t="s">
        <v>178</v>
      </c>
      <c r="E4" s="32"/>
      <c r="F4" s="32"/>
      <c r="G4" s="32" t="s">
        <v>179</v>
      </c>
      <c r="H4" s="32"/>
      <c r="I4" s="32"/>
      <c r="J4" s="32" t="s">
        <v>192</v>
      </c>
      <c r="K4" s="32"/>
      <c r="L4" s="32"/>
    </row>
    <row r="5" spans="1:18" ht="21">
      <c r="A5" s="33" t="s">
        <v>193</v>
      </c>
      <c r="B5" s="33"/>
      <c r="C5" s="33"/>
      <c r="D5" s="33">
        <f>COUNTA(A11:A20)</f>
        <v>10</v>
      </c>
      <c r="E5" s="33"/>
      <c r="F5" s="33"/>
      <c r="G5" s="33">
        <f>COUNTIF(I11:I20,"Completado")</f>
        <v>10</v>
      </c>
      <c r="H5" s="33"/>
      <c r="I5" s="33"/>
      <c r="J5" s="34">
        <f>IFERROR(COUNTIF(I11:I20,"Completado")/COUNTA(A11:A20),0)</f>
        <v>1</v>
      </c>
      <c r="K5" s="34"/>
      <c r="L5" s="34"/>
    </row>
    <row r="7" spans="1:18">
      <c r="A7" s="35" t="s">
        <v>194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</row>
    <row r="9" spans="1:18" ht="15">
      <c r="A9" s="38" t="s">
        <v>195</v>
      </c>
      <c r="B9" s="38"/>
      <c r="C9" s="38"/>
      <c r="D9" s="38"/>
      <c r="E9" s="38"/>
      <c r="F9" s="38"/>
      <c r="G9" s="38"/>
      <c r="H9" s="38"/>
      <c r="I9" s="38"/>
      <c r="J9" s="38"/>
      <c r="K9" s="39">
        <v>46266</v>
      </c>
      <c r="L9" s="39">
        <v>46267</v>
      </c>
      <c r="M9" s="39">
        <v>46268</v>
      </c>
      <c r="N9" s="39">
        <v>46269</v>
      </c>
      <c r="O9" s="39">
        <v>46270</v>
      </c>
      <c r="P9" s="39">
        <v>46271</v>
      </c>
      <c r="Q9" s="39">
        <v>46272</v>
      </c>
      <c r="R9" s="39">
        <v>46273</v>
      </c>
    </row>
    <row r="10" spans="1:18" ht="24">
      <c r="A10" s="40" t="s">
        <v>180</v>
      </c>
      <c r="B10" s="40" t="s">
        <v>196</v>
      </c>
      <c r="C10" s="40" t="s">
        <v>181</v>
      </c>
      <c r="D10" s="40" t="s">
        <v>197</v>
      </c>
      <c r="E10" s="40" t="s">
        <v>182</v>
      </c>
      <c r="F10" s="40" t="s">
        <v>183</v>
      </c>
      <c r="G10" s="40" t="s">
        <v>198</v>
      </c>
      <c r="H10" s="40" t="s">
        <v>66</v>
      </c>
      <c r="I10" s="40" t="s">
        <v>9</v>
      </c>
      <c r="J10" s="40" t="s">
        <v>199</v>
      </c>
      <c r="K10" s="40" t="s">
        <v>200</v>
      </c>
      <c r="L10" s="40" t="s">
        <v>201</v>
      </c>
      <c r="M10" s="40" t="s">
        <v>202</v>
      </c>
      <c r="N10" s="40" t="s">
        <v>203</v>
      </c>
      <c r="O10" s="40" t="s">
        <v>204</v>
      </c>
      <c r="P10" s="40" t="s">
        <v>205</v>
      </c>
      <c r="Q10" s="40" t="s">
        <v>206</v>
      </c>
      <c r="R10" s="40" t="s">
        <v>200</v>
      </c>
    </row>
    <row r="11" spans="1:18" ht="81">
      <c r="A11" s="41">
        <v>1</v>
      </c>
      <c r="B11" s="42" t="s">
        <v>207</v>
      </c>
      <c r="C11" s="42" t="s">
        <v>208</v>
      </c>
      <c r="D11" s="42" t="s">
        <v>185</v>
      </c>
      <c r="E11" s="43">
        <v>46266</v>
      </c>
      <c r="F11" s="43">
        <v>46266</v>
      </c>
      <c r="G11" s="41">
        <f t="shared" ref="G11:G20" si="0">F11-E11+1</f>
        <v>1</v>
      </c>
      <c r="H11" s="42" t="s">
        <v>209</v>
      </c>
      <c r="I11" s="41" t="s">
        <v>184</v>
      </c>
      <c r="J11" s="42" t="s">
        <v>210</v>
      </c>
      <c r="K11" s="44" t="str">
        <f t="shared" ref="K11:R20" si="1">IF(AND(K$9&gt;=$E11,K$9&lt;=$F11),"●","")</f>
        <v>●</v>
      </c>
      <c r="L11" s="44" t="str">
        <f t="shared" si="1"/>
        <v/>
      </c>
      <c r="M11" s="44" t="str">
        <f t="shared" si="1"/>
        <v/>
      </c>
      <c r="N11" s="44" t="str">
        <f t="shared" si="1"/>
        <v/>
      </c>
      <c r="O11" s="44" t="str">
        <f t="shared" si="1"/>
        <v/>
      </c>
      <c r="P11" s="44" t="str">
        <f t="shared" si="1"/>
        <v/>
      </c>
      <c r="Q11" s="44" t="str">
        <f t="shared" si="1"/>
        <v/>
      </c>
      <c r="R11" s="44" t="str">
        <f t="shared" si="1"/>
        <v/>
      </c>
    </row>
    <row r="12" spans="1:18" ht="81">
      <c r="A12" s="45">
        <v>2</v>
      </c>
      <c r="B12" s="46" t="s">
        <v>211</v>
      </c>
      <c r="C12" s="46" t="s">
        <v>212</v>
      </c>
      <c r="D12" s="46" t="s">
        <v>185</v>
      </c>
      <c r="E12" s="47">
        <v>46266</v>
      </c>
      <c r="F12" s="47">
        <v>46268</v>
      </c>
      <c r="G12" s="45">
        <f t="shared" si="0"/>
        <v>3</v>
      </c>
      <c r="H12" s="46" t="s">
        <v>213</v>
      </c>
      <c r="I12" s="45" t="s">
        <v>184</v>
      </c>
      <c r="J12" s="46" t="s">
        <v>214</v>
      </c>
      <c r="K12" s="44" t="str">
        <f t="shared" si="1"/>
        <v>●</v>
      </c>
      <c r="L12" s="44" t="str">
        <f t="shared" si="1"/>
        <v>●</v>
      </c>
      <c r="M12" s="44" t="str">
        <f t="shared" si="1"/>
        <v>●</v>
      </c>
      <c r="N12" s="44" t="str">
        <f t="shared" si="1"/>
        <v/>
      </c>
      <c r="O12" s="44" t="str">
        <f t="shared" si="1"/>
        <v/>
      </c>
      <c r="P12" s="44" t="str">
        <f t="shared" si="1"/>
        <v/>
      </c>
      <c r="Q12" s="44" t="str">
        <f t="shared" si="1"/>
        <v/>
      </c>
      <c r="R12" s="44" t="str">
        <f t="shared" si="1"/>
        <v/>
      </c>
    </row>
    <row r="13" spans="1:18" ht="94.5">
      <c r="A13" s="41">
        <v>3</v>
      </c>
      <c r="B13" s="42" t="s">
        <v>215</v>
      </c>
      <c r="C13" s="42" t="s">
        <v>216</v>
      </c>
      <c r="D13" s="42" t="s">
        <v>20</v>
      </c>
      <c r="E13" s="43">
        <v>46267</v>
      </c>
      <c r="F13" s="43">
        <v>46267</v>
      </c>
      <c r="G13" s="41">
        <f t="shared" si="0"/>
        <v>1</v>
      </c>
      <c r="H13" s="42" t="s">
        <v>217</v>
      </c>
      <c r="I13" s="41" t="s">
        <v>184</v>
      </c>
      <c r="J13" s="42" t="s">
        <v>218</v>
      </c>
      <c r="K13" s="44" t="str">
        <f t="shared" si="1"/>
        <v/>
      </c>
      <c r="L13" s="44" t="str">
        <f t="shared" si="1"/>
        <v>●</v>
      </c>
      <c r="M13" s="44" t="str">
        <f t="shared" si="1"/>
        <v/>
      </c>
      <c r="N13" s="44" t="str">
        <f t="shared" si="1"/>
        <v/>
      </c>
      <c r="O13" s="44" t="str">
        <f t="shared" si="1"/>
        <v/>
      </c>
      <c r="P13" s="44" t="str">
        <f t="shared" si="1"/>
        <v/>
      </c>
      <c r="Q13" s="44" t="str">
        <f t="shared" si="1"/>
        <v/>
      </c>
      <c r="R13" s="44" t="str">
        <f t="shared" si="1"/>
        <v/>
      </c>
    </row>
    <row r="14" spans="1:18" ht="81">
      <c r="A14" s="45">
        <v>4</v>
      </c>
      <c r="B14" s="46" t="s">
        <v>219</v>
      </c>
      <c r="C14" s="46" t="s">
        <v>220</v>
      </c>
      <c r="D14" s="46" t="s">
        <v>221</v>
      </c>
      <c r="E14" s="47">
        <v>46267</v>
      </c>
      <c r="F14" s="47">
        <v>46270</v>
      </c>
      <c r="G14" s="45">
        <f t="shared" si="0"/>
        <v>4</v>
      </c>
      <c r="H14" s="46" t="s">
        <v>222</v>
      </c>
      <c r="I14" s="45" t="s">
        <v>184</v>
      </c>
      <c r="J14" s="46" t="s">
        <v>223</v>
      </c>
      <c r="K14" s="44" t="str">
        <f t="shared" si="1"/>
        <v/>
      </c>
      <c r="L14" s="44" t="str">
        <f t="shared" si="1"/>
        <v>●</v>
      </c>
      <c r="M14" s="44" t="str">
        <f t="shared" si="1"/>
        <v>●</v>
      </c>
      <c r="N14" s="44" t="str">
        <f t="shared" si="1"/>
        <v>●</v>
      </c>
      <c r="O14" s="44" t="str">
        <f t="shared" si="1"/>
        <v>●</v>
      </c>
      <c r="P14" s="44" t="str">
        <f t="shared" si="1"/>
        <v/>
      </c>
      <c r="Q14" s="44" t="str">
        <f t="shared" si="1"/>
        <v/>
      </c>
      <c r="R14" s="44" t="str">
        <f t="shared" si="1"/>
        <v/>
      </c>
    </row>
    <row r="15" spans="1:18" ht="108">
      <c r="A15" s="41">
        <v>5</v>
      </c>
      <c r="B15" s="42" t="s">
        <v>224</v>
      </c>
      <c r="C15" s="42" t="s">
        <v>225</v>
      </c>
      <c r="D15" s="42" t="s">
        <v>186</v>
      </c>
      <c r="E15" s="43">
        <v>46268</v>
      </c>
      <c r="F15" s="43">
        <v>46271</v>
      </c>
      <c r="G15" s="41">
        <f t="shared" si="0"/>
        <v>4</v>
      </c>
      <c r="H15" s="42" t="s">
        <v>226</v>
      </c>
      <c r="I15" s="41" t="s">
        <v>184</v>
      </c>
      <c r="J15" s="42" t="s">
        <v>227</v>
      </c>
      <c r="K15" s="44" t="str">
        <f t="shared" si="1"/>
        <v/>
      </c>
      <c r="L15" s="44" t="str">
        <f t="shared" si="1"/>
        <v/>
      </c>
      <c r="M15" s="44" t="str">
        <f t="shared" si="1"/>
        <v>●</v>
      </c>
      <c r="N15" s="44" t="str">
        <f t="shared" si="1"/>
        <v>●</v>
      </c>
      <c r="O15" s="44" t="str">
        <f t="shared" si="1"/>
        <v>●</v>
      </c>
      <c r="P15" s="44" t="str">
        <f t="shared" si="1"/>
        <v>●</v>
      </c>
      <c r="Q15" s="44" t="str">
        <f t="shared" si="1"/>
        <v/>
      </c>
      <c r="R15" s="44" t="str">
        <f t="shared" si="1"/>
        <v/>
      </c>
    </row>
    <row r="16" spans="1:18" ht="81">
      <c r="A16" s="45">
        <v>6</v>
      </c>
      <c r="B16" s="46" t="s">
        <v>228</v>
      </c>
      <c r="C16" s="46" t="s">
        <v>229</v>
      </c>
      <c r="D16" s="46" t="s">
        <v>51</v>
      </c>
      <c r="E16" s="47">
        <v>46269</v>
      </c>
      <c r="F16" s="47">
        <v>46271</v>
      </c>
      <c r="G16" s="45">
        <f t="shared" si="0"/>
        <v>3</v>
      </c>
      <c r="H16" s="46" t="s">
        <v>230</v>
      </c>
      <c r="I16" s="45" t="s">
        <v>184</v>
      </c>
      <c r="J16" s="46" t="s">
        <v>231</v>
      </c>
      <c r="K16" s="44" t="str">
        <f t="shared" si="1"/>
        <v/>
      </c>
      <c r="L16" s="44" t="str">
        <f t="shared" si="1"/>
        <v/>
      </c>
      <c r="M16" s="44" t="str">
        <f t="shared" si="1"/>
        <v/>
      </c>
      <c r="N16" s="44" t="str">
        <f t="shared" si="1"/>
        <v>●</v>
      </c>
      <c r="O16" s="44" t="str">
        <f t="shared" si="1"/>
        <v>●</v>
      </c>
      <c r="P16" s="44" t="str">
        <f t="shared" si="1"/>
        <v>●</v>
      </c>
      <c r="Q16" s="44" t="str">
        <f t="shared" si="1"/>
        <v/>
      </c>
      <c r="R16" s="44" t="str">
        <f t="shared" si="1"/>
        <v/>
      </c>
    </row>
    <row r="17" spans="1:18" ht="94.5">
      <c r="A17" s="41">
        <v>7</v>
      </c>
      <c r="B17" s="42" t="s">
        <v>232</v>
      </c>
      <c r="C17" s="42" t="s">
        <v>233</v>
      </c>
      <c r="D17" s="42" t="s">
        <v>188</v>
      </c>
      <c r="E17" s="43">
        <v>46269</v>
      </c>
      <c r="F17" s="43">
        <v>46272</v>
      </c>
      <c r="G17" s="41">
        <f t="shared" si="0"/>
        <v>4</v>
      </c>
      <c r="H17" s="42" t="s">
        <v>234</v>
      </c>
      <c r="I17" s="41" t="s">
        <v>184</v>
      </c>
      <c r="J17" s="42" t="s">
        <v>235</v>
      </c>
      <c r="K17" s="44" t="str">
        <f t="shared" si="1"/>
        <v/>
      </c>
      <c r="L17" s="44" t="str">
        <f t="shared" si="1"/>
        <v/>
      </c>
      <c r="M17" s="44" t="str">
        <f t="shared" si="1"/>
        <v/>
      </c>
      <c r="N17" s="44" t="str">
        <f t="shared" si="1"/>
        <v>●</v>
      </c>
      <c r="O17" s="44" t="str">
        <f t="shared" si="1"/>
        <v>●</v>
      </c>
      <c r="P17" s="44" t="str">
        <f t="shared" si="1"/>
        <v>●</v>
      </c>
      <c r="Q17" s="44" t="str">
        <f t="shared" si="1"/>
        <v>●</v>
      </c>
      <c r="R17" s="44" t="str">
        <f t="shared" si="1"/>
        <v/>
      </c>
    </row>
    <row r="18" spans="1:18" ht="67.5">
      <c r="A18" s="45">
        <v>8</v>
      </c>
      <c r="B18" s="46" t="s">
        <v>236</v>
      </c>
      <c r="C18" s="46" t="s">
        <v>237</v>
      </c>
      <c r="D18" s="46" t="s">
        <v>185</v>
      </c>
      <c r="E18" s="47">
        <v>46270</v>
      </c>
      <c r="F18" s="47">
        <v>46273</v>
      </c>
      <c r="G18" s="45">
        <f t="shared" si="0"/>
        <v>4</v>
      </c>
      <c r="H18" s="46" t="s">
        <v>238</v>
      </c>
      <c r="I18" s="45" t="s">
        <v>184</v>
      </c>
      <c r="J18" s="46" t="s">
        <v>239</v>
      </c>
      <c r="K18" s="44" t="str">
        <f t="shared" si="1"/>
        <v/>
      </c>
      <c r="L18" s="44" t="str">
        <f t="shared" si="1"/>
        <v/>
      </c>
      <c r="M18" s="44" t="str">
        <f t="shared" si="1"/>
        <v/>
      </c>
      <c r="N18" s="44" t="str">
        <f t="shared" si="1"/>
        <v/>
      </c>
      <c r="O18" s="44" t="str">
        <f t="shared" si="1"/>
        <v>●</v>
      </c>
      <c r="P18" s="44" t="str">
        <f t="shared" si="1"/>
        <v>●</v>
      </c>
      <c r="Q18" s="44" t="str">
        <f t="shared" si="1"/>
        <v>●</v>
      </c>
      <c r="R18" s="44" t="str">
        <f t="shared" si="1"/>
        <v>●</v>
      </c>
    </row>
    <row r="19" spans="1:18" ht="67.5">
      <c r="A19" s="41">
        <v>9</v>
      </c>
      <c r="B19" s="42" t="s">
        <v>207</v>
      </c>
      <c r="C19" s="42" t="s">
        <v>240</v>
      </c>
      <c r="D19" s="42" t="s">
        <v>187</v>
      </c>
      <c r="E19" s="43">
        <v>46271</v>
      </c>
      <c r="F19" s="43">
        <v>46273</v>
      </c>
      <c r="G19" s="41">
        <f t="shared" si="0"/>
        <v>3</v>
      </c>
      <c r="H19" s="42" t="s">
        <v>241</v>
      </c>
      <c r="I19" s="41" t="s">
        <v>184</v>
      </c>
      <c r="J19" s="42" t="s">
        <v>242</v>
      </c>
      <c r="K19" s="44" t="str">
        <f t="shared" si="1"/>
        <v/>
      </c>
      <c r="L19" s="44" t="str">
        <f t="shared" si="1"/>
        <v/>
      </c>
      <c r="M19" s="44" t="str">
        <f t="shared" si="1"/>
        <v/>
      </c>
      <c r="N19" s="44" t="str">
        <f t="shared" si="1"/>
        <v/>
      </c>
      <c r="O19" s="44" t="str">
        <f t="shared" si="1"/>
        <v/>
      </c>
      <c r="P19" s="44" t="str">
        <f t="shared" si="1"/>
        <v>●</v>
      </c>
      <c r="Q19" s="44" t="str">
        <f t="shared" si="1"/>
        <v>●</v>
      </c>
      <c r="R19" s="44" t="str">
        <f t="shared" si="1"/>
        <v>●</v>
      </c>
    </row>
    <row r="20" spans="1:18" ht="81">
      <c r="A20" s="45">
        <v>10</v>
      </c>
      <c r="B20" s="46" t="s">
        <v>243</v>
      </c>
      <c r="C20" s="46" t="s">
        <v>244</v>
      </c>
      <c r="D20" s="46" t="s">
        <v>51</v>
      </c>
      <c r="E20" s="47">
        <v>46272</v>
      </c>
      <c r="F20" s="47">
        <v>46273</v>
      </c>
      <c r="G20" s="45">
        <f t="shared" si="0"/>
        <v>2</v>
      </c>
      <c r="H20" s="46" t="s">
        <v>245</v>
      </c>
      <c r="I20" s="45" t="s">
        <v>184</v>
      </c>
      <c r="J20" s="46" t="s">
        <v>246</v>
      </c>
      <c r="K20" s="44" t="str">
        <f t="shared" si="1"/>
        <v/>
      </c>
      <c r="L20" s="44" t="str">
        <f t="shared" si="1"/>
        <v/>
      </c>
      <c r="M20" s="44" t="str">
        <f t="shared" si="1"/>
        <v/>
      </c>
      <c r="N20" s="44" t="str">
        <f t="shared" si="1"/>
        <v/>
      </c>
      <c r="O20" s="44" t="str">
        <f t="shared" si="1"/>
        <v/>
      </c>
      <c r="P20" s="44" t="str">
        <f t="shared" si="1"/>
        <v/>
      </c>
      <c r="Q20" s="44" t="str">
        <f t="shared" si="1"/>
        <v>●</v>
      </c>
      <c r="R20" s="44" t="str">
        <f t="shared" si="1"/>
        <v>●</v>
      </c>
    </row>
    <row r="22" spans="1:18">
      <c r="A22" s="48" t="s">
        <v>247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</row>
  </sheetData>
  <mergeCells count="13">
    <mergeCell ref="A22:R22"/>
    <mergeCell ref="A5:C5"/>
    <mergeCell ref="D5:F5"/>
    <mergeCell ref="G5:I5"/>
    <mergeCell ref="J5:L5"/>
    <mergeCell ref="A7:R7"/>
    <mergeCell ref="A9:J9"/>
    <mergeCell ref="A1:R1"/>
    <mergeCell ref="A2:R2"/>
    <mergeCell ref="A4:C4"/>
    <mergeCell ref="D4:F4"/>
    <mergeCell ref="G4:I4"/>
    <mergeCell ref="J4:L4"/>
  </mergeCells>
  <conditionalFormatting sqref="I11:I20">
    <cfRule type="containsText" dxfId="4" priority="1" operator="containsText" text="Completado"/>
    <cfRule type="containsText" dxfId="3" priority="2" operator="containsText" text="En progreso"/>
    <cfRule type="containsText" dxfId="2" priority="3" operator="containsText" text="Por confirmar"/>
    <cfRule type="containsText" dxfId="1" priority="4" operator="containsText" text="Bloqueado"/>
  </conditionalFormatting>
  <conditionalFormatting sqref="K11:R20">
    <cfRule type="expression" dxfId="0" priority="5">
      <formula>K11="●"</formula>
    </cfRule>
  </conditionalFormatting>
  <dataValidations count="1">
    <dataValidation type="list" sqref="I11:I20" xr:uid="{239F3F38-8C7B-4FFE-AFC1-5E18EBDADAF5}">
      <formula1>"Completado,En progreso,Por confirmar,Bloqueado"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Project Charter</vt:lpstr>
      <vt:lpstr>Cronograma APF1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Espinoza</dc:creator>
  <cp:lastModifiedBy>ALUMNO - EMANUEL ANTHONY ESPINOZA CASO</cp:lastModifiedBy>
  <cp:lastPrinted>2026-09-08T05:32:10Z</cp:lastPrinted>
  <dcterms:created xsi:type="dcterms:W3CDTF">2026-09-08T05:30:34Z</dcterms:created>
  <dcterms:modified xsi:type="dcterms:W3CDTF">2026-09-08T05:47:32Z</dcterms:modified>
</cp:coreProperties>
</file>